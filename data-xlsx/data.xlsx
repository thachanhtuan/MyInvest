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dp\MyProjects\GitHub\MyInvest\data-xlsx\"/>
    </mc:Choice>
  </mc:AlternateContent>
  <xr:revisionPtr revIDLastSave="0" documentId="13_ncr:1_{854A071A-CACC-43F4-925F-B6911857C958}" xr6:coauthVersionLast="36" xr6:coauthVersionMax="36" xr10:uidLastSave="{00000000-0000-0000-0000-000000000000}"/>
  <bookViews>
    <workbookView xWindow="0" yWindow="0" windowWidth="21909" windowHeight="9266" activeTab="3" xr2:uid="{00000000-000D-0000-FFFF-FFFF00000000}"/>
  </bookViews>
  <sheets>
    <sheet name="Счета" sheetId="1" r:id="rId1"/>
    <sheet name="Активы" sheetId="2" r:id="rId2"/>
    <sheet name="Облигации" sheetId="3" r:id="rId3"/>
    <sheet name="Транзакции" sheetId="4" r:id="rId4"/>
    <sheet name="Стоимость активов" sheetId="7" r:id="rId5"/>
  </sheets>
  <calcPr calcId="191029"/>
</workbook>
</file>

<file path=xl/calcChain.xml><?xml version="1.0" encoding="utf-8"?>
<calcChain xmlns="http://schemas.openxmlformats.org/spreadsheetml/2006/main">
  <c r="L83" i="4" l="1"/>
  <c r="G61" i="4" l="1"/>
  <c r="L57" i="4"/>
  <c r="C32" i="7" l="1"/>
  <c r="C17" i="7"/>
  <c r="C16" i="7"/>
  <c r="C15" i="7"/>
  <c r="G24" i="4"/>
  <c r="F22" i="4"/>
  <c r="F21" i="4"/>
</calcChain>
</file>

<file path=xl/sharedStrings.xml><?xml version="1.0" encoding="utf-8"?>
<sst xmlns="http://schemas.openxmlformats.org/spreadsheetml/2006/main" count="847" uniqueCount="143">
  <si>
    <t>id</t>
  </si>
  <si>
    <t>name</t>
  </si>
  <si>
    <t>type</t>
  </si>
  <si>
    <t>broker_or_bank</t>
  </si>
  <si>
    <t>currency</t>
  </si>
  <si>
    <t>notes</t>
  </si>
  <si>
    <t>S043V77</t>
  </si>
  <si>
    <t xml:space="preserve">ИИС  Сбер </t>
  </si>
  <si>
    <t>iis</t>
  </si>
  <si>
    <t>Сбер</t>
  </si>
  <si>
    <t>RUB</t>
  </si>
  <si>
    <t>4043V77</t>
  </si>
  <si>
    <t>Брокерский счет Сбер</t>
  </si>
  <si>
    <t>broker</t>
  </si>
  <si>
    <t>12315885-000</t>
  </si>
  <si>
    <t>Брокерский счет Альфа</t>
  </si>
  <si>
    <t>Альфа</t>
  </si>
  <si>
    <t>423DJ5S</t>
  </si>
  <si>
    <t>ИнвестКопилка Сбер</t>
  </si>
  <si>
    <t>savings</t>
  </si>
  <si>
    <t>ikAlpha</t>
  </si>
  <si>
    <t>ИнвестКопилка Альфа</t>
  </si>
  <si>
    <t>ticker</t>
  </si>
  <si>
    <t>asset_class</t>
  </si>
  <si>
    <t>isin</t>
  </si>
  <si>
    <t>STME</t>
  </si>
  <si>
    <t>Вечный портфель</t>
  </si>
  <si>
    <t>etf</t>
  </si>
  <si>
    <t>РУСАЛ 1Р6</t>
  </si>
  <si>
    <t>РУСАЛ CNY Облигация</t>
  </si>
  <si>
    <t>bond_corp</t>
  </si>
  <si>
    <t>CNY</t>
  </si>
  <si>
    <t>RU000A107RH8</t>
  </si>
  <si>
    <t>РУСАЛ CNY Облигация до 08.2026 1000 CNY</t>
  </si>
  <si>
    <t>Полюс Б1P4</t>
  </si>
  <si>
    <t>Полюс USD 05.2029</t>
  </si>
  <si>
    <t>USD</t>
  </si>
  <si>
    <t>RU000A108L81</t>
  </si>
  <si>
    <t>Полюс USD Облигация до 05.2029 100$</t>
  </si>
  <si>
    <t>X5</t>
  </si>
  <si>
    <t>ИКС 5</t>
  </si>
  <si>
    <t>stock_ru</t>
  </si>
  <si>
    <t>Х5 - ритейл. Пятерочка, Магнит, Перекресток</t>
  </si>
  <si>
    <t>SBGD</t>
  </si>
  <si>
    <t>Сбер. Доступное Золото</t>
  </si>
  <si>
    <t>Фонд на фьючерсы цены золота</t>
  </si>
  <si>
    <t>LENT</t>
  </si>
  <si>
    <t>Лента МКПАО</t>
  </si>
  <si>
    <t>Лента</t>
  </si>
  <si>
    <t>СибурХ1Р03</t>
  </si>
  <si>
    <t>СибУр USD  08.2028</t>
  </si>
  <si>
    <t>RU000A10AXW4</t>
  </si>
  <si>
    <t>СибУр USD  08.2028 100$</t>
  </si>
  <si>
    <t>НОВАТЭК1Р3</t>
  </si>
  <si>
    <t>Новатэк USD 02.2028</t>
  </si>
  <si>
    <t>RU000A10AUX8</t>
  </si>
  <si>
    <t>Новатэк 02.2028 100$</t>
  </si>
  <si>
    <t>ОФЗ 26238</t>
  </si>
  <si>
    <t>ОФЗ Руб 15.05.2041</t>
  </si>
  <si>
    <t>bond_gov</t>
  </si>
  <si>
    <t>RU000A1038V6</t>
  </si>
  <si>
    <t>AFKS</t>
  </si>
  <si>
    <t>АФК-Система</t>
  </si>
  <si>
    <t>ОФЗ 26254</t>
  </si>
  <si>
    <t>ОФЗ Руб 03.10.2040</t>
  </si>
  <si>
    <t>RU000A10D533</t>
  </si>
  <si>
    <t>РФ ЗО 30 Д</t>
  </si>
  <si>
    <t>ОФЗ USD 0,04$ 31.03.2030</t>
  </si>
  <si>
    <t>RU000A10A8E8</t>
  </si>
  <si>
    <t>T</t>
  </si>
  <si>
    <t>Т-Технологии</t>
  </si>
  <si>
    <t>AKFB</t>
  </si>
  <si>
    <t>Альфа Облинации с переменным купоном</t>
  </si>
  <si>
    <t>AKMB</t>
  </si>
  <si>
    <t>Альфа Управляемые облигации</t>
  </si>
  <si>
    <t>AKGD</t>
  </si>
  <si>
    <t>Альфа-Капитал. Золото</t>
  </si>
  <si>
    <t>AKPP</t>
  </si>
  <si>
    <t>БПИФ Альфа ПлаттинаПалладий</t>
  </si>
  <si>
    <t>AKMB-I</t>
  </si>
  <si>
    <t>AKMB в инвесткопилке</t>
  </si>
  <si>
    <t>SAFE</t>
  </si>
  <si>
    <t>Сбер -Консервативный (инвесткопилка)</t>
  </si>
  <si>
    <t>face_value</t>
  </si>
  <si>
    <t>base_currency</t>
  </si>
  <si>
    <t>coupon_rate</t>
  </si>
  <si>
    <t>maturity_date</t>
  </si>
  <si>
    <t>offer_date</t>
  </si>
  <si>
    <t>first_coupon_date</t>
  </si>
  <si>
    <t>is_amortizing</t>
  </si>
  <si>
    <t>false</t>
  </si>
  <si>
    <t>date</t>
  </si>
  <si>
    <t>account_id</t>
  </si>
  <si>
    <t>tx_type</t>
  </si>
  <si>
    <t>quantity</t>
  </si>
  <si>
    <t>price</t>
  </si>
  <si>
    <t>amount</t>
  </si>
  <si>
    <t>nominal_amount</t>
  </si>
  <si>
    <t>nominal_currency</t>
  </si>
  <si>
    <t>total_amount</t>
  </si>
  <si>
    <t>commission</t>
  </si>
  <si>
    <t>initial_balance</t>
  </si>
  <si>
    <t>deposit_in</t>
  </si>
  <si>
    <t>buy</t>
  </si>
  <si>
    <t>sell</t>
  </si>
  <si>
    <t>other</t>
  </si>
  <si>
    <t>Подарок за 1й мес</t>
  </si>
  <si>
    <t>подарок за 2й мес</t>
  </si>
  <si>
    <t>coupon</t>
  </si>
  <si>
    <t>подарочные акции</t>
  </si>
  <si>
    <t>AKMO</t>
  </si>
  <si>
    <t>coupon_currency</t>
  </si>
  <si>
    <t>value</t>
  </si>
  <si>
    <t>nominal_value</t>
  </si>
  <si>
    <t>value_pct</t>
  </si>
  <si>
    <t>99.1</t>
  </si>
  <si>
    <t>99.4199</t>
  </si>
  <si>
    <t>подарок за 3й мес</t>
  </si>
  <si>
    <t>ЮГК1P4</t>
  </si>
  <si>
    <t>РУСАЛ1Р15</t>
  </si>
  <si>
    <t>nkd</t>
  </si>
  <si>
    <t>RU000A10B008</t>
  </si>
  <si>
    <t>RU000A10CSD0</t>
  </si>
  <si>
    <t>ЮГК облигация</t>
  </si>
  <si>
    <t>SBERP</t>
  </si>
  <si>
    <t>OZPH</t>
  </si>
  <si>
    <t>Озон Фармацея</t>
  </si>
  <si>
    <t>Сбербанк привилегтрованные</t>
  </si>
  <si>
    <t>coupon_frequency_year</t>
  </si>
  <si>
    <t>coupon_frequency_day</t>
  </si>
  <si>
    <t>coupon_sum</t>
  </si>
  <si>
    <t>РУСАЛ CNY Облигация до 03.2027 1000 CNY</t>
  </si>
  <si>
    <t>73,00 </t>
  </si>
  <si>
    <t>Дом РФ</t>
  </si>
  <si>
    <t>DOMRF</t>
  </si>
  <si>
    <t>FIXR</t>
  </si>
  <si>
    <t>ФиксПрайс</t>
  </si>
  <si>
    <t>2650,00 </t>
  </si>
  <si>
    <t>target_date</t>
  </si>
  <si>
    <t>target_pct</t>
  </si>
  <si>
    <t>Фонд на физическое золото</t>
  </si>
  <si>
    <t>target_min</t>
  </si>
  <si>
    <t>target_max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</si>
</sst>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2" borderId="0" xfId="0" applyFill="1"/>
    <xf numFmtId="14" fontId="0" fillId="0" borderId="0" xfId="0" applyNumberFormat="1"/>
    <xf numFmtId="0" fontId="0" fillId="0" borderId="0" xfId="0"/>
    <xf numFmtId="0" fontId="1" fillId="0" borderId="0" xfId="1"/>
    <xf numFmtId="0" fontId="1" fillId="3" borderId="0" xfId="1" applyFill="1"/>
    <xf numFmtId="0" fontId="0" fillId="3" borderId="0" xfId="0" applyFill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1" fillId="0" borderId="0" xfId="1" applyAlignment="1">
      <alignment horizontal="right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" sqref="C1"/>
    </sheetView>
  </sheetViews>
  <sheetFormatPr defaultRowHeight="14.6" x14ac:dyDescent="0.4"/>
  <cols>
    <col min="1" max="1" width="12.4609375" style="5" bestFit="1" customWidth="1"/>
    <col min="2" max="2" width="20.84375" style="5" bestFit="1" customWidth="1"/>
    <col min="3" max="3" width="6.69140625" style="5" bestFit="1" customWidth="1"/>
    <col min="4" max="4" width="14.15234375" style="5" bestFit="1" customWidth="1"/>
    <col min="5" max="5" width="8" style="5" bestFit="1" customWidth="1"/>
    <col min="6" max="6" width="5.4609375" style="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4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 spans="1:6" x14ac:dyDescent="0.4">
      <c r="A4" s="3" t="s">
        <v>14</v>
      </c>
      <c r="B4" s="3" t="s">
        <v>15</v>
      </c>
      <c r="C4" s="3" t="s">
        <v>13</v>
      </c>
      <c r="D4" s="3" t="s">
        <v>16</v>
      </c>
      <c r="E4" s="3" t="s">
        <v>10</v>
      </c>
    </row>
    <row r="5" spans="1:6" x14ac:dyDescent="0.4">
      <c r="A5" s="3" t="s">
        <v>17</v>
      </c>
      <c r="B5" s="3" t="s">
        <v>18</v>
      </c>
      <c r="C5" s="3" t="s">
        <v>19</v>
      </c>
      <c r="D5" s="3" t="s">
        <v>9</v>
      </c>
      <c r="E5" s="3" t="s">
        <v>10</v>
      </c>
    </row>
    <row r="6" spans="1:6" x14ac:dyDescent="0.4">
      <c r="A6" s="3" t="s">
        <v>20</v>
      </c>
      <c r="B6" s="3" t="s">
        <v>21</v>
      </c>
      <c r="C6" s="3" t="s">
        <v>19</v>
      </c>
      <c r="D6" s="3" t="s">
        <v>16</v>
      </c>
      <c r="E6" s="3" t="s">
        <v>10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opLeftCell="A7" workbookViewId="0">
      <selection activeCell="G1" sqref="G1"/>
    </sheetView>
  </sheetViews>
  <sheetFormatPr defaultRowHeight="14.6" x14ac:dyDescent="0.4"/>
  <cols>
    <col min="1" max="1" width="11.765625" style="5" bestFit="1" customWidth="1"/>
    <col min="2" max="2" width="37.921875" style="5" bestFit="1" customWidth="1"/>
    <col min="3" max="3" width="9.84375" style="5" bestFit="1" customWidth="1"/>
    <col min="4" max="4" width="8" style="5" bestFit="1" customWidth="1"/>
    <col min="5" max="5" width="14.4609375" style="5" bestFit="1" customWidth="1"/>
    <col min="6" max="6" width="39.84375" style="5" bestFit="1" customWidth="1"/>
    <col min="7" max="7" width="9.921875" bestFit="1" customWidth="1"/>
    <col min="8" max="8" width="10.15234375" style="5" bestFit="1" customWidth="1"/>
    <col min="9" max="9" width="9.3828125" bestFit="1" customWidth="1"/>
    <col min="10" max="10" width="9.921875" bestFit="1" customWidth="1"/>
  </cols>
  <sheetData>
    <row r="1" spans="1:10" x14ac:dyDescent="0.4">
      <c r="A1" t="s">
        <v>22</v>
      </c>
      <c r="B1" t="s">
        <v>1</v>
      </c>
      <c r="C1" t="s">
        <v>23</v>
      </c>
      <c r="D1" t="s">
        <v>4</v>
      </c>
      <c r="E1" t="s">
        <v>24</v>
      </c>
      <c r="F1" t="s">
        <v>5</v>
      </c>
      <c r="G1" t="s">
        <v>141</v>
      </c>
      <c r="H1" s="5" t="s">
        <v>142</v>
      </c>
      <c r="I1" t="s">
        <v>139</v>
      </c>
      <c r="J1" t="s">
        <v>138</v>
      </c>
    </row>
    <row r="2" spans="1:10" x14ac:dyDescent="0.4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5" t="s">
        <v>33</v>
      </c>
    </row>
    <row r="3" spans="1:10" x14ac:dyDescent="0.4">
      <c r="A3" t="s">
        <v>34</v>
      </c>
      <c r="B3" t="s">
        <v>35</v>
      </c>
      <c r="C3" t="s">
        <v>30</v>
      </c>
      <c r="D3" t="s">
        <v>36</v>
      </c>
      <c r="E3" t="s">
        <v>37</v>
      </c>
      <c r="F3" t="s">
        <v>38</v>
      </c>
    </row>
    <row r="4" spans="1:10" x14ac:dyDescent="0.4">
      <c r="A4" t="s">
        <v>49</v>
      </c>
      <c r="B4" t="s">
        <v>50</v>
      </c>
      <c r="C4" t="s">
        <v>30</v>
      </c>
      <c r="D4" t="s">
        <v>36</v>
      </c>
      <c r="E4" t="s">
        <v>51</v>
      </c>
      <c r="F4" t="s">
        <v>52</v>
      </c>
    </row>
    <row r="5" spans="1:10" x14ac:dyDescent="0.4">
      <c r="A5" t="s">
        <v>53</v>
      </c>
      <c r="B5" t="s">
        <v>54</v>
      </c>
      <c r="C5" t="s">
        <v>30</v>
      </c>
      <c r="D5" t="s">
        <v>36</v>
      </c>
      <c r="E5" t="s">
        <v>55</v>
      </c>
      <c r="F5" t="s">
        <v>56</v>
      </c>
    </row>
    <row r="6" spans="1:10" ht="15.9" x14ac:dyDescent="0.45">
      <c r="A6" t="s">
        <v>118</v>
      </c>
      <c r="B6" t="s">
        <v>123</v>
      </c>
      <c r="C6" t="s">
        <v>30</v>
      </c>
      <c r="D6" t="s">
        <v>36</v>
      </c>
      <c r="E6" s="6" t="s">
        <v>121</v>
      </c>
      <c r="F6"/>
    </row>
    <row r="7" spans="1:10" ht="15.9" x14ac:dyDescent="0.45">
      <c r="A7" t="s">
        <v>119</v>
      </c>
      <c r="B7" t="s">
        <v>29</v>
      </c>
      <c r="C7" t="s">
        <v>30</v>
      </c>
      <c r="D7" t="s">
        <v>31</v>
      </c>
      <c r="E7" s="6" t="s">
        <v>122</v>
      </c>
      <c r="F7" t="s">
        <v>131</v>
      </c>
    </row>
    <row r="8" spans="1:10" x14ac:dyDescent="0.4">
      <c r="A8" t="s">
        <v>57</v>
      </c>
      <c r="B8" t="s">
        <v>58</v>
      </c>
      <c r="C8" t="s">
        <v>59</v>
      </c>
      <c r="D8" t="s">
        <v>10</v>
      </c>
      <c r="E8" t="s">
        <v>60</v>
      </c>
      <c r="F8" t="s">
        <v>58</v>
      </c>
    </row>
    <row r="9" spans="1:10" x14ac:dyDescent="0.4">
      <c r="A9" t="s">
        <v>63</v>
      </c>
      <c r="B9" t="s">
        <v>64</v>
      </c>
      <c r="C9" t="s">
        <v>59</v>
      </c>
      <c r="D9" t="s">
        <v>10</v>
      </c>
      <c r="E9" t="s">
        <v>65</v>
      </c>
      <c r="F9"/>
    </row>
    <row r="10" spans="1:10" x14ac:dyDescent="0.4">
      <c r="A10" t="s">
        <v>66</v>
      </c>
      <c r="B10" t="s">
        <v>67</v>
      </c>
      <c r="C10" t="s">
        <v>59</v>
      </c>
      <c r="D10" t="s">
        <v>36</v>
      </c>
      <c r="E10" t="s">
        <v>68</v>
      </c>
      <c r="F10"/>
    </row>
    <row r="11" spans="1:10" x14ac:dyDescent="0.4">
      <c r="A11" t="s">
        <v>25</v>
      </c>
      <c r="B11" t="s">
        <v>26</v>
      </c>
      <c r="C11" t="s">
        <v>27</v>
      </c>
      <c r="D11" t="s">
        <v>10</v>
      </c>
      <c r="E11" t="s">
        <v>25</v>
      </c>
    </row>
    <row r="12" spans="1:10" x14ac:dyDescent="0.4">
      <c r="A12" t="s">
        <v>43</v>
      </c>
      <c r="B12" t="s">
        <v>44</v>
      </c>
      <c r="C12" t="s">
        <v>27</v>
      </c>
      <c r="D12" t="s">
        <v>10</v>
      </c>
      <c r="E12" t="s">
        <v>43</v>
      </c>
      <c r="F12" s="5" t="s">
        <v>45</v>
      </c>
    </row>
    <row r="13" spans="1:10" x14ac:dyDescent="0.4">
      <c r="A13" t="s">
        <v>71</v>
      </c>
      <c r="B13" t="s">
        <v>72</v>
      </c>
      <c r="C13" t="s">
        <v>27</v>
      </c>
      <c r="D13" t="s">
        <v>10</v>
      </c>
      <c r="E13" t="s">
        <v>71</v>
      </c>
    </row>
    <row r="14" spans="1:10" x14ac:dyDescent="0.4">
      <c r="A14" t="s">
        <v>73</v>
      </c>
      <c r="B14" t="s">
        <v>74</v>
      </c>
      <c r="C14" t="s">
        <v>27</v>
      </c>
      <c r="D14" t="s">
        <v>10</v>
      </c>
      <c r="E14" t="s">
        <v>73</v>
      </c>
      <c r="I14" s="5"/>
      <c r="J14" s="5"/>
    </row>
    <row r="15" spans="1:10" x14ac:dyDescent="0.4">
      <c r="A15" t="s">
        <v>75</v>
      </c>
      <c r="B15" t="s">
        <v>76</v>
      </c>
      <c r="C15" t="s">
        <v>27</v>
      </c>
      <c r="D15" t="s">
        <v>10</v>
      </c>
      <c r="E15" t="s">
        <v>75</v>
      </c>
      <c r="F15" s="5" t="s">
        <v>140</v>
      </c>
    </row>
    <row r="16" spans="1:10" x14ac:dyDescent="0.4">
      <c r="A16" t="s">
        <v>77</v>
      </c>
      <c r="B16" t="s">
        <v>78</v>
      </c>
      <c r="C16" t="s">
        <v>27</v>
      </c>
      <c r="D16" t="s">
        <v>10</v>
      </c>
      <c r="E16" t="s">
        <v>77</v>
      </c>
    </row>
    <row r="17" spans="1:10" x14ac:dyDescent="0.4">
      <c r="A17" t="s">
        <v>79</v>
      </c>
      <c r="B17" t="s">
        <v>74</v>
      </c>
      <c r="C17" t="s">
        <v>27</v>
      </c>
      <c r="D17" t="s">
        <v>10</v>
      </c>
      <c r="E17" t="s">
        <v>79</v>
      </c>
      <c r="F17" s="5" t="s">
        <v>80</v>
      </c>
    </row>
    <row r="18" spans="1:10" x14ac:dyDescent="0.4">
      <c r="A18" t="s">
        <v>81</v>
      </c>
      <c r="B18" t="s">
        <v>82</v>
      </c>
      <c r="C18" t="s">
        <v>27</v>
      </c>
      <c r="D18" t="s">
        <v>10</v>
      </c>
      <c r="E18" t="s">
        <v>81</v>
      </c>
    </row>
    <row r="19" spans="1:10" x14ac:dyDescent="0.4">
      <c r="A19" t="s">
        <v>39</v>
      </c>
      <c r="B19" t="s">
        <v>40</v>
      </c>
      <c r="C19" t="s">
        <v>41</v>
      </c>
      <c r="D19" t="s">
        <v>10</v>
      </c>
      <c r="E19" s="5" t="s">
        <v>39</v>
      </c>
      <c r="F19" t="s">
        <v>42</v>
      </c>
      <c r="G19" s="1">
        <v>2400</v>
      </c>
      <c r="H19" s="1">
        <v>2800</v>
      </c>
      <c r="J19" s="4">
        <v>46357</v>
      </c>
    </row>
    <row r="20" spans="1:10" x14ac:dyDescent="0.4">
      <c r="A20" t="s">
        <v>46</v>
      </c>
      <c r="B20" t="s">
        <v>47</v>
      </c>
      <c r="C20" t="s">
        <v>41</v>
      </c>
      <c r="D20" t="s">
        <v>10</v>
      </c>
      <c r="E20" t="s">
        <v>46</v>
      </c>
      <c r="F20" s="5" t="s">
        <v>48</v>
      </c>
      <c r="G20" s="1">
        <v>2600</v>
      </c>
      <c r="H20" s="1">
        <v>2600</v>
      </c>
      <c r="J20" s="4">
        <v>46357</v>
      </c>
    </row>
    <row r="21" spans="1:10" x14ac:dyDescent="0.4">
      <c r="A21" s="5" t="s">
        <v>61</v>
      </c>
      <c r="B21" s="5" t="s">
        <v>62</v>
      </c>
      <c r="C21" s="5" t="s">
        <v>41</v>
      </c>
      <c r="D21" s="5" t="s">
        <v>10</v>
      </c>
      <c r="E21" s="5" t="s">
        <v>61</v>
      </c>
      <c r="G21" s="1">
        <v>14.43</v>
      </c>
      <c r="H21" s="1">
        <v>15.6</v>
      </c>
      <c r="J21" s="4">
        <v>46173</v>
      </c>
    </row>
    <row r="22" spans="1:10" x14ac:dyDescent="0.4">
      <c r="A22" s="8" t="s">
        <v>69</v>
      </c>
      <c r="B22" s="8" t="s">
        <v>70</v>
      </c>
      <c r="C22" s="8" t="s">
        <v>41</v>
      </c>
      <c r="D22" s="8" t="s">
        <v>10</v>
      </c>
      <c r="E22" s="8" t="s">
        <v>69</v>
      </c>
      <c r="F22" s="8"/>
      <c r="G22" s="9">
        <v>3700</v>
      </c>
      <c r="H22" s="9">
        <v>4800</v>
      </c>
      <c r="I22" s="9"/>
      <c r="J22" s="10">
        <v>46447</v>
      </c>
    </row>
    <row r="23" spans="1:10" ht="15.9" x14ac:dyDescent="0.45">
      <c r="A23" s="7" t="s">
        <v>124</v>
      </c>
      <c r="B23" s="8" t="s">
        <v>127</v>
      </c>
      <c r="C23" s="8" t="s">
        <v>41</v>
      </c>
      <c r="D23" s="8" t="s">
        <v>10</v>
      </c>
      <c r="E23" s="7" t="s">
        <v>124</v>
      </c>
      <c r="F23" s="8"/>
      <c r="G23" s="9">
        <v>400</v>
      </c>
      <c r="H23" s="9">
        <v>420</v>
      </c>
      <c r="I23" s="8"/>
      <c r="J23" s="10">
        <v>46447</v>
      </c>
    </row>
    <row r="24" spans="1:10" ht="15.9" x14ac:dyDescent="0.45">
      <c r="A24" s="7" t="s">
        <v>125</v>
      </c>
      <c r="B24" s="8" t="s">
        <v>126</v>
      </c>
      <c r="C24" s="8" t="s">
        <v>41</v>
      </c>
      <c r="D24" s="8" t="s">
        <v>10</v>
      </c>
      <c r="E24" s="7" t="s">
        <v>125</v>
      </c>
      <c r="F24" s="8"/>
      <c r="G24" s="9">
        <v>64</v>
      </c>
      <c r="H24" s="9" t="s">
        <v>132</v>
      </c>
      <c r="I24" s="9"/>
      <c r="J24" s="10">
        <v>46447</v>
      </c>
    </row>
    <row r="25" spans="1:10" x14ac:dyDescent="0.4">
      <c r="A25" s="8" t="s">
        <v>134</v>
      </c>
      <c r="B25" s="8" t="s">
        <v>133</v>
      </c>
      <c r="C25" s="8" t="s">
        <v>41</v>
      </c>
      <c r="D25" s="8" t="s">
        <v>10</v>
      </c>
      <c r="E25" s="8" t="s">
        <v>134</v>
      </c>
      <c r="F25" s="8"/>
      <c r="G25" s="9" t="s">
        <v>137</v>
      </c>
      <c r="H25" s="9" t="s">
        <v>137</v>
      </c>
      <c r="I25" s="8"/>
      <c r="J25" s="10">
        <v>46447</v>
      </c>
    </row>
    <row r="26" spans="1:10" x14ac:dyDescent="0.4">
      <c r="A26" s="5" t="s">
        <v>135</v>
      </c>
      <c r="B26" s="5" t="s">
        <v>136</v>
      </c>
      <c r="C26" s="5" t="s">
        <v>41</v>
      </c>
      <c r="D26" s="5" t="s">
        <v>10</v>
      </c>
      <c r="E26" s="5" t="s">
        <v>135</v>
      </c>
      <c r="G26" s="1">
        <v>1</v>
      </c>
      <c r="H26" s="1">
        <v>1.04</v>
      </c>
      <c r="I26" s="1"/>
      <c r="J26" s="2">
        <v>46447</v>
      </c>
    </row>
  </sheetData>
  <sortState ref="A1:J24">
    <sortCondition ref="C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K1" sqref="K1"/>
    </sheetView>
  </sheetViews>
  <sheetFormatPr defaultRowHeight="14.6" x14ac:dyDescent="0.4"/>
  <cols>
    <col min="1" max="1" width="15.4609375" style="5" customWidth="1"/>
    <col min="2" max="2" width="9.61328125" style="5" bestFit="1" customWidth="1"/>
    <col min="3" max="3" width="12.765625" style="5" bestFit="1" customWidth="1"/>
    <col min="4" max="5" width="11.3828125" style="5" bestFit="1" customWidth="1"/>
    <col min="6" max="6" width="15.3046875" style="5" bestFit="1" customWidth="1"/>
    <col min="7" max="8" width="21.15234375" style="5" bestFit="1" customWidth="1"/>
    <col min="9" max="9" width="12.61328125" style="5" bestFit="1" customWidth="1"/>
    <col min="10" max="10" width="9.53515625" style="5" bestFit="1" customWidth="1"/>
    <col min="11" max="11" width="16.07421875" style="5" bestFit="1" customWidth="1"/>
  </cols>
  <sheetData>
    <row r="1" spans="1:12" x14ac:dyDescent="0.4">
      <c r="A1" t="s">
        <v>22</v>
      </c>
      <c r="B1" t="s">
        <v>83</v>
      </c>
      <c r="C1" t="s">
        <v>84</v>
      </c>
      <c r="D1" t="s">
        <v>85</v>
      </c>
      <c r="E1" s="5" t="s">
        <v>130</v>
      </c>
      <c r="F1" s="5" t="s">
        <v>111</v>
      </c>
      <c r="G1" t="s">
        <v>128</v>
      </c>
      <c r="H1" s="5" t="s">
        <v>129</v>
      </c>
      <c r="I1" t="s">
        <v>86</v>
      </c>
      <c r="J1" t="s">
        <v>87</v>
      </c>
      <c r="K1" t="s">
        <v>88</v>
      </c>
      <c r="L1" t="s">
        <v>89</v>
      </c>
    </row>
    <row r="2" spans="1:12" s="1" customFormat="1" x14ac:dyDescent="0.4">
      <c r="A2" s="1" t="s">
        <v>28</v>
      </c>
      <c r="B2" s="1">
        <v>1000</v>
      </c>
      <c r="C2" s="1" t="s">
        <v>31</v>
      </c>
      <c r="E2">
        <v>17.95</v>
      </c>
      <c r="F2" s="1" t="s">
        <v>31</v>
      </c>
      <c r="H2" s="1">
        <v>91</v>
      </c>
      <c r="I2" s="2">
        <v>46239</v>
      </c>
      <c r="K2" s="4">
        <v>46148</v>
      </c>
      <c r="L2" s="1" t="s">
        <v>90</v>
      </c>
    </row>
    <row r="3" spans="1:12" x14ac:dyDescent="0.4">
      <c r="A3" s="1" t="s">
        <v>34</v>
      </c>
      <c r="B3">
        <v>100</v>
      </c>
      <c r="C3" s="1" t="s">
        <v>36</v>
      </c>
      <c r="D3"/>
      <c r="E3">
        <v>0.51</v>
      </c>
      <c r="F3" s="1" t="s">
        <v>36</v>
      </c>
      <c r="G3"/>
      <c r="H3" s="5">
        <v>30</v>
      </c>
      <c r="I3" s="4">
        <v>47247</v>
      </c>
      <c r="K3" s="4">
        <v>46107</v>
      </c>
      <c r="L3" s="1" t="s">
        <v>90</v>
      </c>
    </row>
    <row r="4" spans="1:12" x14ac:dyDescent="0.4">
      <c r="A4" s="1" t="s">
        <v>49</v>
      </c>
      <c r="B4">
        <v>100</v>
      </c>
      <c r="C4" s="1" t="s">
        <v>36</v>
      </c>
      <c r="D4"/>
      <c r="E4" s="5">
        <v>0.79</v>
      </c>
      <c r="F4" s="1" t="s">
        <v>36</v>
      </c>
      <c r="G4"/>
      <c r="H4" s="5">
        <v>30</v>
      </c>
      <c r="I4" s="4">
        <v>46967</v>
      </c>
      <c r="K4" s="4">
        <v>46097</v>
      </c>
      <c r="L4" s="1" t="s">
        <v>90</v>
      </c>
    </row>
    <row r="5" spans="1:12" x14ac:dyDescent="0.4">
      <c r="A5" s="1" t="s">
        <v>53</v>
      </c>
      <c r="B5">
        <v>100</v>
      </c>
      <c r="C5" s="1" t="s">
        <v>36</v>
      </c>
      <c r="D5"/>
      <c r="E5">
        <v>0.77</v>
      </c>
      <c r="F5" s="1" t="s">
        <v>36</v>
      </c>
      <c r="G5"/>
      <c r="H5" s="5">
        <v>30</v>
      </c>
      <c r="I5" s="4">
        <v>46810</v>
      </c>
      <c r="K5" s="4">
        <v>46120</v>
      </c>
      <c r="L5" s="1" t="s">
        <v>90</v>
      </c>
    </row>
    <row r="6" spans="1:12" x14ac:dyDescent="0.4">
      <c r="A6" s="1" t="s">
        <v>63</v>
      </c>
      <c r="B6">
        <v>1000</v>
      </c>
      <c r="C6" s="1" t="s">
        <v>10</v>
      </c>
      <c r="D6"/>
      <c r="E6">
        <v>64.819999999999993</v>
      </c>
      <c r="F6" s="1" t="s">
        <v>10</v>
      </c>
      <c r="G6"/>
      <c r="H6" s="5">
        <v>182</v>
      </c>
      <c r="I6" s="4">
        <v>51412</v>
      </c>
      <c r="K6" s="4">
        <v>46134</v>
      </c>
      <c r="L6" s="1" t="s">
        <v>90</v>
      </c>
    </row>
    <row r="7" spans="1:12" x14ac:dyDescent="0.4">
      <c r="A7" s="1" t="s">
        <v>66</v>
      </c>
      <c r="B7">
        <v>4.4999999999999998E-2</v>
      </c>
      <c r="C7" s="1" t="s">
        <v>36</v>
      </c>
      <c r="E7">
        <v>1.688E-3</v>
      </c>
      <c r="F7" s="1" t="s">
        <v>36</v>
      </c>
      <c r="G7"/>
      <c r="H7" s="5">
        <v>183</v>
      </c>
      <c r="I7" s="4">
        <v>47573</v>
      </c>
      <c r="K7" s="4">
        <v>46112</v>
      </c>
      <c r="L7" s="1" t="s">
        <v>90</v>
      </c>
    </row>
    <row r="8" spans="1:12" x14ac:dyDescent="0.4">
      <c r="A8" s="1" t="s">
        <v>57</v>
      </c>
      <c r="B8">
        <v>1000</v>
      </c>
      <c r="C8" s="1" t="s">
        <v>10</v>
      </c>
      <c r="D8"/>
      <c r="E8">
        <v>35.4</v>
      </c>
      <c r="F8" s="1" t="s">
        <v>10</v>
      </c>
      <c r="G8"/>
      <c r="H8" s="5">
        <v>182</v>
      </c>
      <c r="I8" s="4">
        <v>51636</v>
      </c>
      <c r="K8" s="4">
        <v>46176</v>
      </c>
      <c r="L8" s="1" t="s">
        <v>90</v>
      </c>
    </row>
    <row r="9" spans="1:12" x14ac:dyDescent="0.4">
      <c r="A9" s="1" t="s">
        <v>118</v>
      </c>
      <c r="B9" s="5">
        <v>100</v>
      </c>
      <c r="C9" s="1" t="s">
        <v>36</v>
      </c>
      <c r="D9"/>
      <c r="E9" s="5">
        <v>0.87</v>
      </c>
      <c r="F9" s="1" t="s">
        <v>36</v>
      </c>
      <c r="H9" s="5">
        <v>30</v>
      </c>
      <c r="I9" s="4">
        <v>46440</v>
      </c>
      <c r="K9" s="4">
        <v>46111</v>
      </c>
      <c r="L9" s="1" t="s">
        <v>90</v>
      </c>
    </row>
    <row r="10" spans="1:12" x14ac:dyDescent="0.4">
      <c r="A10" s="1" t="s">
        <v>119</v>
      </c>
      <c r="B10" s="5">
        <v>1000</v>
      </c>
      <c r="C10" s="1" t="s">
        <v>31</v>
      </c>
      <c r="E10">
        <v>5.96</v>
      </c>
      <c r="F10" s="1" t="s">
        <v>31</v>
      </c>
      <c r="G10" s="5">
        <v>12</v>
      </c>
      <c r="I10" s="4">
        <v>46459</v>
      </c>
      <c r="K10" s="4">
        <v>46099</v>
      </c>
      <c r="L10" s="1" t="s">
        <v>90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4"/>
  <sheetViews>
    <sheetView tabSelected="1" topLeftCell="A59" workbookViewId="0">
      <selection activeCell="L84" sqref="L84"/>
    </sheetView>
  </sheetViews>
  <sheetFormatPr defaultColWidth="11" defaultRowHeight="14.6" x14ac:dyDescent="0.4"/>
  <cols>
    <col min="1" max="1" width="16.69140625" style="1" bestFit="1" customWidth="1"/>
    <col min="2" max="2" width="12.4609375" style="1" bestFit="1" customWidth="1"/>
    <col min="3" max="3" width="11.765625" style="1" bestFit="1" customWidth="1"/>
    <col min="4" max="4" width="12.69140625" style="1" bestFit="1" customWidth="1"/>
    <col min="5" max="5" width="7.765625" style="1" bestFit="1" customWidth="1"/>
    <col min="6" max="6" width="11.84375" style="1" bestFit="1" customWidth="1"/>
    <col min="7" max="7" width="8.84375" style="1" bestFit="1" customWidth="1"/>
    <col min="8" max="8" width="15.07421875" style="1" bestFit="1" customWidth="1"/>
    <col min="9" max="9" width="15.765625" style="1" bestFit="1" customWidth="1"/>
    <col min="10" max="10" width="8.07421875" style="1" customWidth="1"/>
    <col min="11" max="11" width="10.61328125" style="1" bestFit="1" customWidth="1"/>
    <col min="12" max="12" width="12.15234375" style="1" bestFit="1" customWidth="1"/>
    <col min="13" max="13" width="8" style="1" bestFit="1" customWidth="1"/>
    <col min="14" max="14" width="6.3046875" style="1" bestFit="1" customWidth="1"/>
    <col min="15" max="15" width="17.23046875" style="1" bestFit="1" customWidth="1"/>
    <col min="16" max="16384" width="11" style="1"/>
  </cols>
  <sheetData>
    <row r="1" spans="1:15" x14ac:dyDescent="0.4">
      <c r="A1" s="1" t="s">
        <v>91</v>
      </c>
      <c r="B1" s="1" t="s">
        <v>92</v>
      </c>
      <c r="C1" s="1" t="s">
        <v>22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120</v>
      </c>
      <c r="K1" s="1" t="s">
        <v>100</v>
      </c>
      <c r="L1" s="1" t="s">
        <v>99</v>
      </c>
      <c r="M1" s="1" t="s">
        <v>4</v>
      </c>
      <c r="N1" s="1" t="s">
        <v>13</v>
      </c>
      <c r="O1" s="1" t="s">
        <v>5</v>
      </c>
    </row>
    <row r="2" spans="1:15" x14ac:dyDescent="0.4">
      <c r="A2" s="11">
        <v>46023</v>
      </c>
      <c r="B2" s="1" t="s">
        <v>6</v>
      </c>
      <c r="C2" s="1" t="s">
        <v>25</v>
      </c>
      <c r="D2" s="1" t="s">
        <v>101</v>
      </c>
      <c r="E2" s="1">
        <v>1287</v>
      </c>
      <c r="I2" s="1" t="s">
        <v>10</v>
      </c>
      <c r="L2" s="1">
        <v>5212.3599999999997</v>
      </c>
      <c r="M2" s="1" t="s">
        <v>10</v>
      </c>
      <c r="N2" s="1" t="s">
        <v>9</v>
      </c>
    </row>
    <row r="3" spans="1:15" x14ac:dyDescent="0.4">
      <c r="A3" s="11">
        <v>46051</v>
      </c>
      <c r="B3" s="1" t="s">
        <v>6</v>
      </c>
      <c r="D3" s="1" t="s">
        <v>102</v>
      </c>
      <c r="I3" s="1" t="s">
        <v>10</v>
      </c>
      <c r="L3" s="1">
        <v>5800</v>
      </c>
      <c r="M3" s="1" t="s">
        <v>10</v>
      </c>
      <c r="N3" s="1" t="s">
        <v>9</v>
      </c>
    </row>
    <row r="4" spans="1:15" ht="15.9" customHeight="1" x14ac:dyDescent="0.4">
      <c r="A4" s="11">
        <v>46052</v>
      </c>
      <c r="B4" s="1" t="s">
        <v>6</v>
      </c>
      <c r="C4" s="1" t="s">
        <v>25</v>
      </c>
      <c r="D4" s="1" t="s">
        <v>103</v>
      </c>
      <c r="E4" s="1">
        <v>1255</v>
      </c>
      <c r="F4" s="1">
        <v>4.5449999999999999</v>
      </c>
      <c r="G4" s="1">
        <v>5703.9750000000004</v>
      </c>
      <c r="I4" s="1" t="s">
        <v>10</v>
      </c>
      <c r="K4" s="1">
        <v>1.1399999999999999</v>
      </c>
      <c r="M4" s="1" t="s">
        <v>10</v>
      </c>
      <c r="N4" s="1" t="s">
        <v>9</v>
      </c>
    </row>
    <row r="5" spans="1:15" x14ac:dyDescent="0.4">
      <c r="A5" s="11">
        <v>46052</v>
      </c>
      <c r="B5" s="1" t="s">
        <v>6</v>
      </c>
      <c r="C5" s="1" t="s">
        <v>25</v>
      </c>
      <c r="D5" s="1" t="s">
        <v>103</v>
      </c>
      <c r="E5" s="1">
        <v>20</v>
      </c>
      <c r="F5" s="1">
        <v>4.5199999999999996</v>
      </c>
      <c r="G5" s="1">
        <v>90.4</v>
      </c>
      <c r="I5" s="1" t="s">
        <v>10</v>
      </c>
      <c r="K5" s="1">
        <v>0.02</v>
      </c>
      <c r="M5" s="1" t="s">
        <v>10</v>
      </c>
      <c r="N5" s="1" t="s">
        <v>9</v>
      </c>
    </row>
    <row r="6" spans="1:15" x14ac:dyDescent="0.4">
      <c r="A6" s="11">
        <v>46063</v>
      </c>
      <c r="B6" s="1" t="s">
        <v>6</v>
      </c>
      <c r="D6" s="1" t="s">
        <v>102</v>
      </c>
      <c r="I6" s="1" t="s">
        <v>10</v>
      </c>
      <c r="L6" s="1">
        <v>5000</v>
      </c>
      <c r="M6" s="1" t="s">
        <v>10</v>
      </c>
      <c r="N6" s="1" t="s">
        <v>9</v>
      </c>
    </row>
    <row r="7" spans="1:15" x14ac:dyDescent="0.4">
      <c r="A7" s="11">
        <v>46063</v>
      </c>
      <c r="B7" s="1" t="s">
        <v>6</v>
      </c>
      <c r="C7" s="1" t="s">
        <v>25</v>
      </c>
      <c r="D7" s="1" t="s">
        <v>103</v>
      </c>
      <c r="E7" s="1">
        <v>1100</v>
      </c>
      <c r="F7" s="1">
        <v>4.4450000000000003</v>
      </c>
      <c r="G7" s="1">
        <v>4889.5</v>
      </c>
      <c r="I7" s="1" t="s">
        <v>10</v>
      </c>
      <c r="K7" s="1">
        <v>0.97</v>
      </c>
      <c r="M7" s="1" t="s">
        <v>10</v>
      </c>
      <c r="N7" s="1" t="s">
        <v>9</v>
      </c>
    </row>
    <row r="8" spans="1:15" ht="15.9" customHeight="1" x14ac:dyDescent="0.4">
      <c r="A8" s="11">
        <v>46051</v>
      </c>
      <c r="B8" s="1" t="s">
        <v>11</v>
      </c>
      <c r="C8" s="1" t="s">
        <v>25</v>
      </c>
      <c r="D8" s="1" t="s">
        <v>103</v>
      </c>
      <c r="E8" s="1">
        <v>100</v>
      </c>
      <c r="F8" s="1">
        <v>4.57</v>
      </c>
      <c r="G8" s="1">
        <v>457</v>
      </c>
      <c r="I8" s="1" t="s">
        <v>10</v>
      </c>
      <c r="K8" s="1">
        <v>0.1</v>
      </c>
      <c r="M8" s="1" t="s">
        <v>10</v>
      </c>
      <c r="N8" s="1" t="s">
        <v>9</v>
      </c>
    </row>
    <row r="9" spans="1:15" ht="15.9" customHeight="1" x14ac:dyDescent="0.4">
      <c r="A9" s="11">
        <v>46051</v>
      </c>
      <c r="B9" s="1" t="s">
        <v>11</v>
      </c>
      <c r="C9" s="1" t="s">
        <v>25</v>
      </c>
      <c r="D9" s="1" t="s">
        <v>103</v>
      </c>
      <c r="E9" s="1">
        <v>1000</v>
      </c>
      <c r="F9" s="1">
        <v>4.5650000000000004</v>
      </c>
      <c r="G9" s="1">
        <v>4565</v>
      </c>
      <c r="I9" s="1" t="s">
        <v>10</v>
      </c>
      <c r="K9" s="1">
        <v>0.91</v>
      </c>
      <c r="M9" s="1" t="s">
        <v>10</v>
      </c>
      <c r="N9" s="1" t="s">
        <v>9</v>
      </c>
    </row>
    <row r="10" spans="1:15" x14ac:dyDescent="0.4">
      <c r="A10" s="11">
        <v>46052</v>
      </c>
      <c r="B10" s="1" t="s">
        <v>11</v>
      </c>
      <c r="C10" s="1" t="s">
        <v>25</v>
      </c>
      <c r="D10" s="1" t="s">
        <v>104</v>
      </c>
      <c r="E10" s="1">
        <v>1100</v>
      </c>
      <c r="F10" s="1">
        <v>4.54</v>
      </c>
      <c r="G10" s="1">
        <v>4994</v>
      </c>
      <c r="I10" s="1" t="s">
        <v>10</v>
      </c>
      <c r="K10" s="1">
        <v>1</v>
      </c>
      <c r="M10" s="1" t="s">
        <v>10</v>
      </c>
      <c r="N10" s="1" t="s">
        <v>9</v>
      </c>
    </row>
    <row r="11" spans="1:15" x14ac:dyDescent="0.4">
      <c r="A11" s="11">
        <v>46051</v>
      </c>
      <c r="B11" s="1" t="s">
        <v>11</v>
      </c>
      <c r="D11" s="1" t="s">
        <v>102</v>
      </c>
      <c r="I11" s="1" t="s">
        <v>10</v>
      </c>
      <c r="L11" s="1">
        <v>10000</v>
      </c>
      <c r="M11" s="1" t="s">
        <v>10</v>
      </c>
      <c r="N11" s="1" t="s">
        <v>9</v>
      </c>
    </row>
    <row r="12" spans="1:15" x14ac:dyDescent="0.4">
      <c r="A12" s="11">
        <v>46052</v>
      </c>
      <c r="B12" s="1" t="s">
        <v>11</v>
      </c>
      <c r="D12" s="1" t="s">
        <v>102</v>
      </c>
      <c r="I12" s="1" t="s">
        <v>10</v>
      </c>
      <c r="L12" s="1">
        <v>1500</v>
      </c>
      <c r="M12" s="1" t="s">
        <v>10</v>
      </c>
      <c r="N12" s="1" t="s">
        <v>9</v>
      </c>
    </row>
    <row r="13" spans="1:15" x14ac:dyDescent="0.4">
      <c r="A13" s="11">
        <v>46063</v>
      </c>
      <c r="B13" s="1" t="s">
        <v>11</v>
      </c>
      <c r="C13" s="1" t="s">
        <v>28</v>
      </c>
      <c r="D13" s="1" t="s">
        <v>103</v>
      </c>
      <c r="E13" s="1">
        <v>1</v>
      </c>
      <c r="F13" s="1">
        <v>11201.861994000001</v>
      </c>
      <c r="G13" s="1">
        <v>11217.27</v>
      </c>
      <c r="H13" s="1">
        <v>1006</v>
      </c>
      <c r="I13" s="1" t="s">
        <v>31</v>
      </c>
      <c r="K13" s="1">
        <v>7.84</v>
      </c>
      <c r="M13" s="1" t="s">
        <v>10</v>
      </c>
      <c r="N13" s="1" t="s">
        <v>9</v>
      </c>
    </row>
    <row r="14" spans="1:15" x14ac:dyDescent="0.4">
      <c r="A14" s="11">
        <v>46052</v>
      </c>
      <c r="B14" s="1" t="s">
        <v>11</v>
      </c>
      <c r="C14" s="1" t="s">
        <v>34</v>
      </c>
      <c r="D14" s="1" t="s">
        <v>103</v>
      </c>
      <c r="E14" s="1">
        <v>1</v>
      </c>
      <c r="F14" s="12">
        <v>7610.51</v>
      </c>
      <c r="G14" s="12">
        <v>7610.51</v>
      </c>
      <c r="H14" s="1">
        <v>98.66</v>
      </c>
      <c r="I14" s="1" t="s">
        <v>36</v>
      </c>
      <c r="K14" s="1">
        <v>5.2</v>
      </c>
      <c r="M14" s="1" t="s">
        <v>10</v>
      </c>
      <c r="N14" s="1" t="s">
        <v>9</v>
      </c>
    </row>
    <row r="15" spans="1:15" x14ac:dyDescent="0.4">
      <c r="A15" s="11">
        <v>46052</v>
      </c>
      <c r="B15" s="1" t="s">
        <v>11</v>
      </c>
      <c r="C15" s="1" t="s">
        <v>40</v>
      </c>
      <c r="D15" s="1" t="s">
        <v>103</v>
      </c>
      <c r="E15" s="1">
        <v>1</v>
      </c>
      <c r="F15" s="12">
        <v>2544.5</v>
      </c>
      <c r="G15" s="12">
        <v>2544.5</v>
      </c>
      <c r="I15" s="1" t="s">
        <v>10</v>
      </c>
      <c r="K15" s="1">
        <v>2.29</v>
      </c>
      <c r="M15" s="1" t="s">
        <v>10</v>
      </c>
      <c r="N15" s="1" t="s">
        <v>9</v>
      </c>
    </row>
    <row r="16" spans="1:15" x14ac:dyDescent="0.4">
      <c r="A16" s="11">
        <v>46052</v>
      </c>
      <c r="B16" s="1" t="s">
        <v>11</v>
      </c>
      <c r="C16" s="1" t="s">
        <v>43</v>
      </c>
      <c r="D16" s="1" t="s">
        <v>103</v>
      </c>
      <c r="E16" s="1">
        <v>34</v>
      </c>
      <c r="F16" s="1">
        <v>37.155000000000001</v>
      </c>
      <c r="G16" s="12">
        <v>1263.27</v>
      </c>
      <c r="I16" s="1" t="s">
        <v>10</v>
      </c>
      <c r="K16" s="1">
        <v>0.25</v>
      </c>
      <c r="M16" s="1" t="s">
        <v>10</v>
      </c>
      <c r="N16" s="1" t="s">
        <v>9</v>
      </c>
    </row>
    <row r="17" spans="1:15" x14ac:dyDescent="0.4">
      <c r="A17" s="11">
        <v>46063</v>
      </c>
      <c r="B17" s="1" t="s">
        <v>11</v>
      </c>
      <c r="D17" s="1" t="s">
        <v>102</v>
      </c>
      <c r="I17" s="1" t="s">
        <v>10</v>
      </c>
      <c r="L17" s="1">
        <v>30339.62</v>
      </c>
      <c r="M17" s="1" t="s">
        <v>10</v>
      </c>
      <c r="N17" s="1" t="s">
        <v>9</v>
      </c>
    </row>
    <row r="18" spans="1:15" x14ac:dyDescent="0.4">
      <c r="A18" s="11">
        <v>46063</v>
      </c>
      <c r="B18" s="1" t="s">
        <v>11</v>
      </c>
      <c r="C18" s="1" t="s">
        <v>46</v>
      </c>
      <c r="D18" s="1" t="s">
        <v>103</v>
      </c>
      <c r="E18" s="1">
        <v>1</v>
      </c>
      <c r="F18" s="12">
        <v>2060</v>
      </c>
      <c r="G18" s="12">
        <v>2060</v>
      </c>
      <c r="I18" s="1" t="s">
        <v>10</v>
      </c>
      <c r="K18" s="1">
        <v>1.86</v>
      </c>
      <c r="M18" s="1" t="s">
        <v>10</v>
      </c>
      <c r="N18" s="1" t="s">
        <v>9</v>
      </c>
    </row>
    <row r="19" spans="1:15" x14ac:dyDescent="0.4">
      <c r="A19" s="11">
        <v>46063</v>
      </c>
      <c r="B19" s="1" t="s">
        <v>11</v>
      </c>
      <c r="C19" s="1" t="s">
        <v>49</v>
      </c>
      <c r="D19" s="1" t="s">
        <v>103</v>
      </c>
      <c r="E19" s="1">
        <v>1</v>
      </c>
      <c r="F19" s="12">
        <v>8285.27</v>
      </c>
      <c r="G19" s="12">
        <v>8285.27</v>
      </c>
      <c r="H19" s="1">
        <v>107.41</v>
      </c>
      <c r="I19" s="1" t="s">
        <v>36</v>
      </c>
      <c r="K19" s="1">
        <v>5.76</v>
      </c>
      <c r="M19" s="1" t="s">
        <v>10</v>
      </c>
      <c r="N19" s="1" t="s">
        <v>9</v>
      </c>
    </row>
    <row r="20" spans="1:15" x14ac:dyDescent="0.4">
      <c r="A20" s="11">
        <v>46064</v>
      </c>
      <c r="B20" s="1" t="s">
        <v>11</v>
      </c>
      <c r="C20" s="1" t="s">
        <v>53</v>
      </c>
      <c r="D20" s="1" t="s">
        <v>103</v>
      </c>
      <c r="E20" s="1">
        <v>1</v>
      </c>
      <c r="F20" s="12">
        <v>8085.94</v>
      </c>
      <c r="G20" s="12">
        <v>8085.94</v>
      </c>
      <c r="H20" s="1">
        <v>104.83</v>
      </c>
      <c r="I20" s="1" t="s">
        <v>36</v>
      </c>
      <c r="K20" s="1">
        <v>5.53</v>
      </c>
      <c r="M20" s="1" t="s">
        <v>10</v>
      </c>
      <c r="N20" s="1" t="s">
        <v>9</v>
      </c>
    </row>
    <row r="21" spans="1:15" x14ac:dyDescent="0.4">
      <c r="A21" s="11">
        <v>46064</v>
      </c>
      <c r="B21" s="1" t="s">
        <v>11</v>
      </c>
      <c r="C21" s="1" t="s">
        <v>43</v>
      </c>
      <c r="D21" s="1" t="s">
        <v>103</v>
      </c>
      <c r="E21" s="1">
        <v>9</v>
      </c>
      <c r="F21" s="1">
        <f>G21/E21</f>
        <v>37.684444444444445</v>
      </c>
      <c r="G21" s="1">
        <v>339.16</v>
      </c>
      <c r="I21" s="1" t="s">
        <v>10</v>
      </c>
      <c r="K21" s="1">
        <v>0.06</v>
      </c>
      <c r="M21" s="1" t="s">
        <v>10</v>
      </c>
      <c r="N21" s="1" t="s">
        <v>9</v>
      </c>
    </row>
    <row r="22" spans="1:15" x14ac:dyDescent="0.4">
      <c r="A22" s="11">
        <v>46064</v>
      </c>
      <c r="B22" s="1" t="s">
        <v>11</v>
      </c>
      <c r="C22" s="1" t="s">
        <v>43</v>
      </c>
      <c r="D22" s="1" t="s">
        <v>103</v>
      </c>
      <c r="E22" s="1">
        <v>9</v>
      </c>
      <c r="F22" s="1">
        <f>G22/E22</f>
        <v>37.734444444444449</v>
      </c>
      <c r="G22" s="1">
        <v>339.61</v>
      </c>
      <c r="I22" s="1" t="s">
        <v>10</v>
      </c>
      <c r="K22" s="1">
        <v>0</v>
      </c>
      <c r="M22" s="1" t="s">
        <v>10</v>
      </c>
      <c r="N22" s="1" t="s">
        <v>9</v>
      </c>
    </row>
    <row r="23" spans="1:15" x14ac:dyDescent="0.4">
      <c r="A23" s="2">
        <v>46034</v>
      </c>
      <c r="B23" s="1" t="s">
        <v>14</v>
      </c>
      <c r="D23" s="1" t="s">
        <v>102</v>
      </c>
      <c r="I23" s="1" t="s">
        <v>10</v>
      </c>
      <c r="L23" s="1">
        <v>1500</v>
      </c>
      <c r="M23" s="1" t="s">
        <v>10</v>
      </c>
      <c r="N23" s="1" t="s">
        <v>16</v>
      </c>
    </row>
    <row r="24" spans="1:15" x14ac:dyDescent="0.4">
      <c r="A24" s="2">
        <v>46034</v>
      </c>
      <c r="B24" s="1" t="s">
        <v>14</v>
      </c>
      <c r="C24" s="1" t="s">
        <v>77</v>
      </c>
      <c r="D24" s="1" t="s">
        <v>103</v>
      </c>
      <c r="E24" s="1">
        <v>4</v>
      </c>
      <c r="F24" s="1">
        <v>192.21</v>
      </c>
      <c r="G24" s="1">
        <f>F24*E24</f>
        <v>768.84</v>
      </c>
      <c r="I24" s="1" t="s">
        <v>10</v>
      </c>
      <c r="L24" s="1">
        <v>768.84</v>
      </c>
      <c r="M24" s="1" t="s">
        <v>10</v>
      </c>
      <c r="N24" s="1" t="s">
        <v>16</v>
      </c>
    </row>
    <row r="25" spans="1:15" x14ac:dyDescent="0.4">
      <c r="A25" s="2">
        <v>46034</v>
      </c>
      <c r="B25" s="1" t="s">
        <v>14</v>
      </c>
      <c r="C25" s="1" t="s">
        <v>75</v>
      </c>
      <c r="D25" s="1" t="s">
        <v>103</v>
      </c>
      <c r="E25" s="1">
        <v>2</v>
      </c>
      <c r="F25" s="1">
        <v>259.85000000000002</v>
      </c>
      <c r="G25" s="1">
        <v>519.70000000000005</v>
      </c>
      <c r="I25" s="1" t="s">
        <v>10</v>
      </c>
      <c r="L25" s="1">
        <v>519.70000000000005</v>
      </c>
      <c r="M25" s="1" t="s">
        <v>10</v>
      </c>
      <c r="N25" s="1" t="s">
        <v>16</v>
      </c>
    </row>
    <row r="26" spans="1:15" x14ac:dyDescent="0.4">
      <c r="A26" s="2">
        <v>46034</v>
      </c>
      <c r="B26" s="1" t="s">
        <v>14</v>
      </c>
      <c r="C26" s="1" t="s">
        <v>73</v>
      </c>
      <c r="D26" s="1" t="s">
        <v>103</v>
      </c>
      <c r="E26" s="1">
        <v>96</v>
      </c>
      <c r="F26" s="1">
        <v>1.865</v>
      </c>
      <c r="G26" s="1">
        <v>179.04</v>
      </c>
      <c r="I26" s="1" t="s">
        <v>10</v>
      </c>
      <c r="L26" s="1">
        <v>179.04</v>
      </c>
      <c r="M26" s="1" t="s">
        <v>10</v>
      </c>
      <c r="N26" s="1" t="s">
        <v>16</v>
      </c>
    </row>
    <row r="27" spans="1:15" x14ac:dyDescent="0.4">
      <c r="A27" s="2">
        <v>46038</v>
      </c>
      <c r="B27" s="1" t="s">
        <v>14</v>
      </c>
      <c r="D27" s="1" t="s">
        <v>105</v>
      </c>
      <c r="I27" s="1" t="s">
        <v>10</v>
      </c>
      <c r="L27" s="1">
        <v>1000</v>
      </c>
      <c r="M27" s="1" t="s">
        <v>10</v>
      </c>
      <c r="N27" s="1" t="s">
        <v>16</v>
      </c>
      <c r="O27" s="1" t="s">
        <v>106</v>
      </c>
    </row>
    <row r="28" spans="1:15" x14ac:dyDescent="0.4">
      <c r="A28" s="2">
        <v>46038</v>
      </c>
      <c r="B28" s="1" t="s">
        <v>14</v>
      </c>
      <c r="C28" s="1" t="s">
        <v>71</v>
      </c>
      <c r="D28" s="1" t="s">
        <v>103</v>
      </c>
      <c r="E28" s="1">
        <v>5</v>
      </c>
      <c r="F28" s="1">
        <v>127.26</v>
      </c>
      <c r="G28" s="1">
        <v>636.29999999999995</v>
      </c>
      <c r="I28" s="1" t="s">
        <v>10</v>
      </c>
      <c r="L28" s="1">
        <v>636.29999999999995</v>
      </c>
      <c r="M28" s="1" t="s">
        <v>10</v>
      </c>
      <c r="N28" s="1" t="s">
        <v>16</v>
      </c>
    </row>
    <row r="29" spans="1:15" x14ac:dyDescent="0.4">
      <c r="A29" s="2">
        <v>46038</v>
      </c>
      <c r="B29" s="1" t="s">
        <v>14</v>
      </c>
      <c r="C29" s="1" t="s">
        <v>71</v>
      </c>
      <c r="D29" s="1" t="s">
        <v>103</v>
      </c>
      <c r="E29" s="1">
        <v>2</v>
      </c>
      <c r="F29" s="1">
        <v>127.26</v>
      </c>
      <c r="G29" s="1">
        <v>254.52</v>
      </c>
      <c r="I29" s="1" t="s">
        <v>10</v>
      </c>
      <c r="L29" s="1">
        <v>254.52</v>
      </c>
      <c r="M29" s="1" t="s">
        <v>10</v>
      </c>
      <c r="N29" s="1" t="s">
        <v>16</v>
      </c>
    </row>
    <row r="30" spans="1:15" x14ac:dyDescent="0.4">
      <c r="A30" s="2">
        <v>46038</v>
      </c>
      <c r="B30" s="1" t="s">
        <v>14</v>
      </c>
      <c r="C30" s="1" t="s">
        <v>73</v>
      </c>
      <c r="D30" s="1" t="s">
        <v>103</v>
      </c>
      <c r="E30" s="1">
        <v>64</v>
      </c>
      <c r="F30" s="1">
        <v>1.8637999999999999</v>
      </c>
      <c r="G30" s="1">
        <v>119.28</v>
      </c>
      <c r="I30" s="1" t="s">
        <v>10</v>
      </c>
      <c r="L30" s="1">
        <v>119.28</v>
      </c>
      <c r="M30" s="1" t="s">
        <v>10</v>
      </c>
      <c r="N30" s="1" t="s">
        <v>16</v>
      </c>
    </row>
    <row r="31" spans="1:15" x14ac:dyDescent="0.4">
      <c r="A31" s="2">
        <v>46051</v>
      </c>
      <c r="B31" s="1" t="s">
        <v>14</v>
      </c>
      <c r="D31" s="1" t="s">
        <v>102</v>
      </c>
      <c r="I31" s="1" t="s">
        <v>10</v>
      </c>
      <c r="L31" s="1">
        <v>15000</v>
      </c>
      <c r="M31" s="1" t="s">
        <v>10</v>
      </c>
      <c r="N31" s="1" t="s">
        <v>16</v>
      </c>
    </row>
    <row r="32" spans="1:15" x14ac:dyDescent="0.4">
      <c r="A32" s="2">
        <v>46052</v>
      </c>
      <c r="B32" s="1" t="s">
        <v>14</v>
      </c>
      <c r="C32" s="1" t="s">
        <v>77</v>
      </c>
      <c r="D32" s="1" t="s">
        <v>103</v>
      </c>
      <c r="E32" s="1">
        <v>6</v>
      </c>
      <c r="F32" s="1">
        <v>204.71</v>
      </c>
      <c r="G32" s="1">
        <v>1228.26</v>
      </c>
      <c r="I32" s="1" t="s">
        <v>10</v>
      </c>
      <c r="L32" s="1">
        <v>1228.26</v>
      </c>
      <c r="M32" s="1" t="s">
        <v>10</v>
      </c>
      <c r="N32" s="1" t="s">
        <v>16</v>
      </c>
    </row>
    <row r="33" spans="1:15" x14ac:dyDescent="0.4">
      <c r="A33" s="2">
        <v>46052</v>
      </c>
      <c r="B33" s="1" t="s">
        <v>14</v>
      </c>
      <c r="C33" s="1" t="s">
        <v>75</v>
      </c>
      <c r="D33" s="1" t="s">
        <v>103</v>
      </c>
      <c r="E33" s="1">
        <v>8</v>
      </c>
      <c r="F33" s="1">
        <v>281.52</v>
      </c>
      <c r="G33" s="1">
        <v>2252.16</v>
      </c>
      <c r="I33" s="1" t="s">
        <v>10</v>
      </c>
      <c r="L33" s="1">
        <v>2252.16</v>
      </c>
      <c r="M33" s="1" t="s">
        <v>10</v>
      </c>
      <c r="N33" s="1" t="s">
        <v>16</v>
      </c>
    </row>
    <row r="34" spans="1:15" x14ac:dyDescent="0.4">
      <c r="A34" s="2">
        <v>46052</v>
      </c>
      <c r="B34" s="1" t="s">
        <v>14</v>
      </c>
      <c r="C34" s="1" t="s">
        <v>69</v>
      </c>
      <c r="D34" s="1" t="s">
        <v>103</v>
      </c>
      <c r="E34" s="1">
        <v>2</v>
      </c>
      <c r="F34" s="1">
        <v>3368</v>
      </c>
      <c r="G34" s="1">
        <v>6736</v>
      </c>
      <c r="I34" s="1" t="s">
        <v>10</v>
      </c>
      <c r="L34" s="1">
        <v>6736</v>
      </c>
      <c r="M34" s="1" t="s">
        <v>10</v>
      </c>
      <c r="N34" s="1" t="s">
        <v>16</v>
      </c>
    </row>
    <row r="35" spans="1:15" x14ac:dyDescent="0.4">
      <c r="A35" s="2">
        <v>46052</v>
      </c>
      <c r="B35" s="1" t="s">
        <v>14</v>
      </c>
      <c r="C35" s="1" t="s">
        <v>66</v>
      </c>
      <c r="D35" s="1" t="s">
        <v>103</v>
      </c>
      <c r="E35" s="1">
        <v>1000</v>
      </c>
      <c r="F35" s="1">
        <v>3.6804700000000001</v>
      </c>
      <c r="G35" s="1">
        <v>3680.47</v>
      </c>
      <c r="I35" s="1" t="s">
        <v>10</v>
      </c>
      <c r="L35" s="1">
        <v>3680.47</v>
      </c>
      <c r="M35" s="1" t="s">
        <v>10</v>
      </c>
      <c r="N35" s="1" t="s">
        <v>16</v>
      </c>
    </row>
    <row r="36" spans="1:15" x14ac:dyDescent="0.4">
      <c r="A36" s="2">
        <v>46052</v>
      </c>
      <c r="B36" s="1" t="s">
        <v>14</v>
      </c>
      <c r="C36" s="1" t="s">
        <v>71</v>
      </c>
      <c r="D36" s="1" t="s">
        <v>103</v>
      </c>
      <c r="E36" s="1">
        <v>6</v>
      </c>
      <c r="F36" s="1">
        <v>128</v>
      </c>
      <c r="G36" s="1">
        <v>768</v>
      </c>
      <c r="I36" s="1" t="s">
        <v>10</v>
      </c>
      <c r="L36" s="1">
        <v>768</v>
      </c>
      <c r="M36" s="1" t="s">
        <v>10</v>
      </c>
      <c r="N36" s="1" t="s">
        <v>16</v>
      </c>
    </row>
    <row r="37" spans="1:15" x14ac:dyDescent="0.4">
      <c r="A37" s="2">
        <v>46052</v>
      </c>
      <c r="B37" s="1" t="s">
        <v>14</v>
      </c>
      <c r="C37" s="1" t="s">
        <v>73</v>
      </c>
      <c r="D37" s="1" t="s">
        <v>103</v>
      </c>
      <c r="E37" s="1">
        <v>147</v>
      </c>
      <c r="F37" s="1">
        <v>1.875</v>
      </c>
      <c r="G37" s="1">
        <v>275.63</v>
      </c>
      <c r="I37" s="1" t="s">
        <v>10</v>
      </c>
      <c r="L37" s="1">
        <v>275.63</v>
      </c>
      <c r="M37" s="1" t="s">
        <v>10</v>
      </c>
      <c r="N37" s="1" t="s">
        <v>16</v>
      </c>
    </row>
    <row r="38" spans="1:15" x14ac:dyDescent="0.4">
      <c r="A38" s="2">
        <v>46052</v>
      </c>
      <c r="B38" s="1" t="s">
        <v>14</v>
      </c>
      <c r="C38" s="1" t="s">
        <v>73</v>
      </c>
      <c r="D38" s="1" t="s">
        <v>103</v>
      </c>
      <c r="E38" s="1">
        <v>50</v>
      </c>
      <c r="F38" s="1">
        <v>1.8744000000000001</v>
      </c>
      <c r="G38" s="1">
        <v>93.72</v>
      </c>
      <c r="I38" s="1" t="s">
        <v>10</v>
      </c>
      <c r="L38" s="1">
        <v>93.72</v>
      </c>
      <c r="M38" s="1" t="s">
        <v>10</v>
      </c>
      <c r="N38" s="1" t="s">
        <v>16</v>
      </c>
    </row>
    <row r="39" spans="1:15" x14ac:dyDescent="0.4">
      <c r="A39" s="2">
        <v>46065</v>
      </c>
      <c r="B39" s="1" t="s">
        <v>14</v>
      </c>
      <c r="D39" s="1" t="s">
        <v>102</v>
      </c>
      <c r="I39" s="1" t="s">
        <v>10</v>
      </c>
      <c r="L39" s="1">
        <v>3500</v>
      </c>
      <c r="M39" s="1" t="s">
        <v>10</v>
      </c>
      <c r="N39" s="1" t="s">
        <v>16</v>
      </c>
    </row>
    <row r="40" spans="1:15" x14ac:dyDescent="0.4">
      <c r="A40" s="2">
        <v>46065</v>
      </c>
      <c r="B40" s="1" t="s">
        <v>14</v>
      </c>
      <c r="C40" s="1" t="s">
        <v>69</v>
      </c>
      <c r="D40" s="1" t="s">
        <v>103</v>
      </c>
      <c r="E40" s="1">
        <v>1</v>
      </c>
      <c r="F40" s="1">
        <v>3343.2</v>
      </c>
      <c r="G40" s="1">
        <v>3343.2</v>
      </c>
      <c r="I40" s="1" t="s">
        <v>10</v>
      </c>
      <c r="L40" s="1">
        <v>3343.2</v>
      </c>
      <c r="M40" s="1" t="s">
        <v>10</v>
      </c>
      <c r="N40" s="1" t="s">
        <v>16</v>
      </c>
    </row>
    <row r="41" spans="1:15" x14ac:dyDescent="0.4">
      <c r="A41" s="2">
        <v>46066</v>
      </c>
      <c r="B41" s="1" t="s">
        <v>14</v>
      </c>
      <c r="D41" s="1" t="s">
        <v>105</v>
      </c>
      <c r="I41" s="1" t="s">
        <v>10</v>
      </c>
      <c r="L41" s="1">
        <v>1000</v>
      </c>
      <c r="M41" s="1" t="s">
        <v>10</v>
      </c>
      <c r="N41" s="1" t="s">
        <v>16</v>
      </c>
      <c r="O41" s="1" t="s">
        <v>107</v>
      </c>
    </row>
    <row r="42" spans="1:15" x14ac:dyDescent="0.4">
      <c r="A42" s="2">
        <v>46066</v>
      </c>
      <c r="B42" s="1" t="s">
        <v>14</v>
      </c>
      <c r="C42" s="1" t="s">
        <v>63</v>
      </c>
      <c r="D42" s="1" t="s">
        <v>103</v>
      </c>
      <c r="E42" s="1">
        <v>1</v>
      </c>
      <c r="F42" s="1">
        <v>912.99</v>
      </c>
      <c r="G42" s="1">
        <v>912.99</v>
      </c>
      <c r="I42" s="1" t="s">
        <v>10</v>
      </c>
      <c r="L42" s="1">
        <v>954.66</v>
      </c>
      <c r="M42" s="1" t="s">
        <v>10</v>
      </c>
      <c r="N42" s="1" t="s">
        <v>16</v>
      </c>
    </row>
    <row r="43" spans="1:15" x14ac:dyDescent="0.4">
      <c r="A43" s="2">
        <v>46066</v>
      </c>
      <c r="B43" s="1" t="s">
        <v>14</v>
      </c>
      <c r="C43" s="1" t="s">
        <v>77</v>
      </c>
      <c r="D43" s="1" t="s">
        <v>104</v>
      </c>
      <c r="E43" s="1">
        <v>10</v>
      </c>
      <c r="F43" s="1">
        <v>166</v>
      </c>
      <c r="G43" s="1">
        <v>1660</v>
      </c>
      <c r="I43" s="1" t="s">
        <v>10</v>
      </c>
      <c r="L43" s="1">
        <v>1660</v>
      </c>
      <c r="M43" s="1" t="s">
        <v>10</v>
      </c>
      <c r="N43" s="1" t="s">
        <v>16</v>
      </c>
    </row>
    <row r="44" spans="1:15" x14ac:dyDescent="0.4">
      <c r="A44" s="2">
        <v>46066</v>
      </c>
      <c r="B44" s="1" t="s">
        <v>14</v>
      </c>
      <c r="C44" s="1" t="s">
        <v>61</v>
      </c>
      <c r="D44" s="1" t="s">
        <v>103</v>
      </c>
      <c r="E44" s="1">
        <v>100</v>
      </c>
      <c r="F44" s="1">
        <v>13.568</v>
      </c>
      <c r="G44" s="1">
        <v>1356.8</v>
      </c>
      <c r="I44" s="1" t="s">
        <v>10</v>
      </c>
      <c r="L44" s="1">
        <v>1356.8</v>
      </c>
      <c r="M44" s="1" t="s">
        <v>10</v>
      </c>
      <c r="N44" s="1" t="s">
        <v>16</v>
      </c>
    </row>
    <row r="45" spans="1:15" x14ac:dyDescent="0.4">
      <c r="A45" s="2">
        <v>46066</v>
      </c>
      <c r="B45" s="1" t="s">
        <v>14</v>
      </c>
      <c r="C45" s="1" t="s">
        <v>57</v>
      </c>
      <c r="D45" s="1" t="s">
        <v>103</v>
      </c>
      <c r="E45" s="1">
        <v>1</v>
      </c>
      <c r="F45" s="1">
        <v>589.9</v>
      </c>
      <c r="G45" s="1">
        <v>589.9</v>
      </c>
      <c r="I45" s="1" t="s">
        <v>10</v>
      </c>
      <c r="L45" s="1">
        <v>604.49</v>
      </c>
      <c r="M45" s="1" t="s">
        <v>10</v>
      </c>
      <c r="N45" s="1" t="s">
        <v>16</v>
      </c>
    </row>
    <row r="46" spans="1:15" x14ac:dyDescent="0.4">
      <c r="A46" s="2">
        <v>46069</v>
      </c>
      <c r="B46" s="1" t="s">
        <v>11</v>
      </c>
      <c r="C46" s="1" t="s">
        <v>49</v>
      </c>
      <c r="D46" s="1" t="s">
        <v>108</v>
      </c>
      <c r="E46" s="1">
        <v>1</v>
      </c>
      <c r="F46" s="1">
        <v>60.98</v>
      </c>
      <c r="G46" s="1">
        <v>60.98</v>
      </c>
      <c r="I46" s="1" t="s">
        <v>10</v>
      </c>
      <c r="L46" s="1">
        <v>60.98</v>
      </c>
      <c r="M46" s="1" t="s">
        <v>10</v>
      </c>
      <c r="N46" s="1" t="s">
        <v>9</v>
      </c>
    </row>
    <row r="47" spans="1:15" x14ac:dyDescent="0.4">
      <c r="A47" s="2">
        <v>46066</v>
      </c>
      <c r="B47" s="1" t="s">
        <v>14</v>
      </c>
      <c r="D47" s="1" t="s">
        <v>105</v>
      </c>
      <c r="I47" s="1" t="s">
        <v>10</v>
      </c>
      <c r="L47" s="1">
        <v>112.59</v>
      </c>
      <c r="M47" s="1" t="s">
        <v>10</v>
      </c>
      <c r="N47" s="1" t="s">
        <v>16</v>
      </c>
      <c r="O47" s="1" t="s">
        <v>109</v>
      </c>
    </row>
    <row r="48" spans="1:15" x14ac:dyDescent="0.4">
      <c r="A48" s="11">
        <v>46075</v>
      </c>
      <c r="B48" s="13" t="s">
        <v>17</v>
      </c>
      <c r="C48" s="1" t="s">
        <v>81</v>
      </c>
      <c r="D48" s="1" t="s">
        <v>101</v>
      </c>
      <c r="I48" s="1" t="s">
        <v>10</v>
      </c>
      <c r="L48" s="1">
        <v>24191.29</v>
      </c>
      <c r="M48" s="1" t="s">
        <v>10</v>
      </c>
      <c r="N48" s="1" t="s">
        <v>9</v>
      </c>
    </row>
    <row r="49" spans="1:15" x14ac:dyDescent="0.4">
      <c r="A49" s="11">
        <v>46075</v>
      </c>
      <c r="B49" s="13" t="s">
        <v>20</v>
      </c>
      <c r="D49" s="1" t="s">
        <v>101</v>
      </c>
      <c r="E49" s="1">
        <v>24829</v>
      </c>
      <c r="I49" s="1" t="s">
        <v>10</v>
      </c>
      <c r="L49" s="1">
        <v>47343.93</v>
      </c>
      <c r="M49" s="1" t="s">
        <v>10</v>
      </c>
      <c r="N49" s="1" t="s">
        <v>16</v>
      </c>
    </row>
    <row r="50" spans="1:15" x14ac:dyDescent="0.4">
      <c r="A50" s="11">
        <v>46075</v>
      </c>
      <c r="B50" s="13" t="s">
        <v>20</v>
      </c>
      <c r="D50" s="1" t="s">
        <v>102</v>
      </c>
      <c r="E50" s="1">
        <v>22066</v>
      </c>
      <c r="I50" s="1" t="s">
        <v>10</v>
      </c>
      <c r="L50" s="1">
        <v>26033.46</v>
      </c>
      <c r="M50" s="1" t="s">
        <v>10</v>
      </c>
      <c r="N50" s="1" t="s">
        <v>16</v>
      </c>
    </row>
    <row r="51" spans="1:15" x14ac:dyDescent="0.4">
      <c r="A51" s="2">
        <v>46078</v>
      </c>
      <c r="B51" s="1" t="s">
        <v>11</v>
      </c>
      <c r="C51" s="1" t="s">
        <v>34</v>
      </c>
      <c r="D51" s="1" t="s">
        <v>108</v>
      </c>
      <c r="E51" s="1">
        <v>1</v>
      </c>
      <c r="F51" s="1">
        <v>39.14</v>
      </c>
      <c r="G51" s="1">
        <v>39.14</v>
      </c>
      <c r="I51" s="1" t="s">
        <v>10</v>
      </c>
      <c r="L51" s="1">
        <v>39.14</v>
      </c>
      <c r="M51" s="1" t="s">
        <v>10</v>
      </c>
      <c r="N51" s="1" t="s">
        <v>9</v>
      </c>
    </row>
    <row r="52" spans="1:15" x14ac:dyDescent="0.4">
      <c r="A52" s="2">
        <v>46081</v>
      </c>
      <c r="B52" s="1" t="s">
        <v>14</v>
      </c>
      <c r="D52" s="1" t="s">
        <v>102</v>
      </c>
      <c r="I52" s="1" t="s">
        <v>10</v>
      </c>
      <c r="L52" s="1">
        <v>13500</v>
      </c>
      <c r="M52" s="1" t="s">
        <v>10</v>
      </c>
      <c r="N52" s="1" t="s">
        <v>16</v>
      </c>
    </row>
    <row r="53" spans="1:15" x14ac:dyDescent="0.4">
      <c r="A53" s="2">
        <v>46081</v>
      </c>
      <c r="B53" s="1" t="s">
        <v>14</v>
      </c>
      <c r="C53" s="1" t="s">
        <v>75</v>
      </c>
      <c r="D53" s="1" t="s">
        <v>103</v>
      </c>
      <c r="E53" s="1">
        <v>12</v>
      </c>
      <c r="F53" s="1">
        <v>298.67</v>
      </c>
      <c r="G53" s="1">
        <v>3584.04</v>
      </c>
      <c r="I53" s="1" t="s">
        <v>10</v>
      </c>
      <c r="L53" s="1">
        <v>3584.04</v>
      </c>
      <c r="M53" s="1" t="s">
        <v>10</v>
      </c>
      <c r="N53" s="1" t="s">
        <v>16</v>
      </c>
    </row>
    <row r="54" spans="1:15" x14ac:dyDescent="0.4">
      <c r="A54" s="2">
        <v>46081</v>
      </c>
      <c r="B54" s="1" t="s">
        <v>14</v>
      </c>
      <c r="C54" s="1" t="s">
        <v>73</v>
      </c>
      <c r="D54" s="1" t="s">
        <v>103</v>
      </c>
      <c r="E54" s="1">
        <v>50</v>
      </c>
      <c r="F54" s="1">
        <v>1.9135</v>
      </c>
      <c r="G54" s="1">
        <v>95.67</v>
      </c>
      <c r="I54" s="1" t="s">
        <v>10</v>
      </c>
      <c r="L54" s="1">
        <v>95.67</v>
      </c>
      <c r="M54" s="1" t="s">
        <v>10</v>
      </c>
      <c r="N54" s="1" t="s">
        <v>16</v>
      </c>
    </row>
    <row r="55" spans="1:15" x14ac:dyDescent="0.4">
      <c r="A55" s="2">
        <v>46081</v>
      </c>
      <c r="B55" s="1" t="s">
        <v>14</v>
      </c>
      <c r="C55" s="1" t="s">
        <v>75</v>
      </c>
      <c r="D55" s="1" t="s">
        <v>103</v>
      </c>
      <c r="E55" s="1">
        <v>33</v>
      </c>
      <c r="F55" s="1">
        <v>299.54000000000002</v>
      </c>
      <c r="G55" s="1">
        <v>9884.82</v>
      </c>
      <c r="I55" s="1" t="s">
        <v>10</v>
      </c>
      <c r="L55" s="1">
        <v>9884.82</v>
      </c>
      <c r="M55" s="1" t="s">
        <v>10</v>
      </c>
      <c r="N55" s="1" t="s">
        <v>16</v>
      </c>
    </row>
    <row r="56" spans="1:15" x14ac:dyDescent="0.4">
      <c r="A56" s="2">
        <v>46081</v>
      </c>
      <c r="B56" s="1" t="s">
        <v>14</v>
      </c>
      <c r="C56" s="1" t="s">
        <v>73</v>
      </c>
      <c r="D56" s="1" t="s">
        <v>103</v>
      </c>
      <c r="E56" s="1">
        <v>60</v>
      </c>
      <c r="F56" s="1">
        <v>1.9134</v>
      </c>
      <c r="G56" s="1">
        <v>114.8</v>
      </c>
      <c r="I56" s="1" t="s">
        <v>10</v>
      </c>
      <c r="L56" s="1">
        <v>95.67</v>
      </c>
      <c r="M56" s="1" t="s">
        <v>10</v>
      </c>
      <c r="N56" s="1" t="s">
        <v>16</v>
      </c>
    </row>
    <row r="57" spans="1:15" x14ac:dyDescent="0.4">
      <c r="A57" s="2">
        <v>46081</v>
      </c>
      <c r="B57" s="13" t="s">
        <v>20</v>
      </c>
      <c r="D57" s="1" t="s">
        <v>102</v>
      </c>
      <c r="L57" s="1">
        <f>194.52+285.76+81.59+255+39.29</f>
        <v>856.16</v>
      </c>
      <c r="M57" s="1" t="s">
        <v>10</v>
      </c>
      <c r="N57" s="1" t="s">
        <v>16</v>
      </c>
    </row>
    <row r="58" spans="1:15" x14ac:dyDescent="0.4">
      <c r="A58" s="2">
        <v>46091</v>
      </c>
      <c r="B58" s="1" t="s">
        <v>11</v>
      </c>
      <c r="C58" s="1" t="s">
        <v>53</v>
      </c>
      <c r="D58" s="1" t="s">
        <v>108</v>
      </c>
      <c r="E58" s="1">
        <v>1</v>
      </c>
      <c r="F58" s="1">
        <v>60.21</v>
      </c>
      <c r="G58" s="1">
        <v>60.21</v>
      </c>
      <c r="I58" s="1" t="s">
        <v>10</v>
      </c>
      <c r="L58" s="1">
        <v>60.21</v>
      </c>
      <c r="M58" s="1" t="s">
        <v>10</v>
      </c>
      <c r="N58" s="1" t="s">
        <v>9</v>
      </c>
    </row>
    <row r="59" spans="1:15" x14ac:dyDescent="0.4">
      <c r="A59" s="2">
        <v>46091</v>
      </c>
      <c r="B59" s="1" t="s">
        <v>6</v>
      </c>
      <c r="D59" s="1" t="s">
        <v>102</v>
      </c>
      <c r="I59" s="1" t="s">
        <v>10</v>
      </c>
      <c r="L59" s="1">
        <v>5000</v>
      </c>
      <c r="M59" s="1" t="s">
        <v>10</v>
      </c>
      <c r="N59" s="1" t="s">
        <v>9</v>
      </c>
    </row>
    <row r="60" spans="1:15" x14ac:dyDescent="0.4">
      <c r="A60" s="2">
        <v>46091</v>
      </c>
      <c r="B60" s="1" t="s">
        <v>11</v>
      </c>
      <c r="D60" s="1" t="s">
        <v>102</v>
      </c>
      <c r="I60" s="1" t="s">
        <v>10</v>
      </c>
      <c r="L60" s="1">
        <v>23500</v>
      </c>
      <c r="M60" s="1" t="s">
        <v>10</v>
      </c>
      <c r="N60" s="1" t="s">
        <v>9</v>
      </c>
    </row>
    <row r="61" spans="1:15" x14ac:dyDescent="0.4">
      <c r="A61" s="2">
        <v>46091</v>
      </c>
      <c r="B61" s="1" t="s">
        <v>6</v>
      </c>
      <c r="C61" s="1" t="s">
        <v>25</v>
      </c>
      <c r="D61" s="1" t="s">
        <v>103</v>
      </c>
      <c r="E61" s="1">
        <v>1080</v>
      </c>
      <c r="F61" s="1">
        <v>4.7350000000000003</v>
      </c>
      <c r="G61" s="1">
        <f>E61*F61</f>
        <v>5113.8</v>
      </c>
      <c r="I61" s="1" t="s">
        <v>10</v>
      </c>
      <c r="L61" s="1">
        <v>5113.8</v>
      </c>
      <c r="M61" s="1" t="s">
        <v>10</v>
      </c>
      <c r="N61" s="1" t="s">
        <v>9</v>
      </c>
    </row>
    <row r="62" spans="1:15" x14ac:dyDescent="0.4">
      <c r="A62" s="2">
        <v>46091</v>
      </c>
      <c r="B62" s="13" t="s">
        <v>20</v>
      </c>
      <c r="D62" s="1" t="s">
        <v>102</v>
      </c>
      <c r="L62" s="1">
        <v>5314.34</v>
      </c>
      <c r="M62" s="1" t="s">
        <v>10</v>
      </c>
      <c r="N62" s="1" t="s">
        <v>16</v>
      </c>
    </row>
    <row r="63" spans="1:15" x14ac:dyDescent="0.4">
      <c r="A63" s="2">
        <v>46091</v>
      </c>
      <c r="B63" s="1" t="s">
        <v>14</v>
      </c>
      <c r="D63" s="1" t="s">
        <v>105</v>
      </c>
      <c r="I63" s="1" t="s">
        <v>10</v>
      </c>
      <c r="L63" s="1">
        <v>1000</v>
      </c>
      <c r="M63" s="1" t="s">
        <v>10</v>
      </c>
      <c r="N63" s="1" t="s">
        <v>16</v>
      </c>
      <c r="O63" s="1" t="s">
        <v>117</v>
      </c>
    </row>
    <row r="64" spans="1:15" x14ac:dyDescent="0.4">
      <c r="A64" s="2">
        <v>46091</v>
      </c>
      <c r="B64" s="1" t="s">
        <v>14</v>
      </c>
      <c r="D64" s="1" t="s">
        <v>105</v>
      </c>
      <c r="I64" s="1" t="s">
        <v>10</v>
      </c>
      <c r="L64" s="1">
        <v>122.58</v>
      </c>
      <c r="M64" s="1" t="s">
        <v>10</v>
      </c>
      <c r="N64" s="1" t="s">
        <v>16</v>
      </c>
      <c r="O64" s="1" t="s">
        <v>109</v>
      </c>
    </row>
    <row r="65" spans="1:16" x14ac:dyDescent="0.4">
      <c r="A65" s="2">
        <v>46091</v>
      </c>
      <c r="B65" s="1" t="s">
        <v>14</v>
      </c>
      <c r="D65" s="1" t="s">
        <v>102</v>
      </c>
      <c r="I65" s="1" t="s">
        <v>10</v>
      </c>
      <c r="L65" s="1">
        <v>8000</v>
      </c>
      <c r="M65" s="1" t="s">
        <v>10</v>
      </c>
      <c r="N65" s="1" t="s">
        <v>16</v>
      </c>
    </row>
    <row r="66" spans="1:16" ht="15.9" x14ac:dyDescent="0.45">
      <c r="A66" s="2">
        <v>46091</v>
      </c>
      <c r="B66" s="1" t="s">
        <v>11</v>
      </c>
      <c r="C66" s="1" t="s">
        <v>118</v>
      </c>
      <c r="D66" s="1" t="s">
        <v>103</v>
      </c>
      <c r="E66" s="1">
        <v>1</v>
      </c>
      <c r="F66" s="14">
        <v>8088.0060700000004</v>
      </c>
      <c r="G66" s="14">
        <v>8088.0060700000004</v>
      </c>
      <c r="I66" s="1" t="s">
        <v>10</v>
      </c>
      <c r="J66" s="14">
        <v>27.7</v>
      </c>
      <c r="K66" s="1">
        <v>5.54</v>
      </c>
      <c r="M66" s="1" t="s">
        <v>10</v>
      </c>
      <c r="N66" s="1" t="s">
        <v>9</v>
      </c>
    </row>
    <row r="67" spans="1:16" ht="15.9" x14ac:dyDescent="0.45">
      <c r="A67" s="2">
        <v>46091</v>
      </c>
      <c r="B67" s="1" t="s">
        <v>11</v>
      </c>
      <c r="C67" s="1" t="s">
        <v>119</v>
      </c>
      <c r="D67" s="1" t="s">
        <v>103</v>
      </c>
      <c r="E67" s="1">
        <v>1</v>
      </c>
      <c r="F67" s="14">
        <v>11402.398106000001</v>
      </c>
      <c r="G67" s="14">
        <v>11402.398106000001</v>
      </c>
      <c r="I67" s="1" t="s">
        <v>10</v>
      </c>
      <c r="J67" s="14">
        <v>52.27</v>
      </c>
      <c r="K67" s="1">
        <v>7.81</v>
      </c>
      <c r="M67" s="1" t="s">
        <v>10</v>
      </c>
      <c r="N67" s="1" t="s">
        <v>9</v>
      </c>
      <c r="P67" s="12"/>
    </row>
    <row r="68" spans="1:16" ht="15.9" x14ac:dyDescent="0.45">
      <c r="A68" s="2">
        <v>46091</v>
      </c>
      <c r="B68" s="1" t="s">
        <v>11</v>
      </c>
      <c r="C68" s="14" t="s">
        <v>125</v>
      </c>
      <c r="D68" s="1" t="s">
        <v>103</v>
      </c>
      <c r="E68" s="1">
        <v>10</v>
      </c>
      <c r="F68" s="1">
        <v>50.42</v>
      </c>
      <c r="G68" s="1">
        <v>504.2</v>
      </c>
      <c r="I68" s="1" t="s">
        <v>10</v>
      </c>
      <c r="K68" s="1">
        <v>0.46</v>
      </c>
      <c r="M68" s="1" t="s">
        <v>10</v>
      </c>
      <c r="N68" s="1" t="s">
        <v>9</v>
      </c>
    </row>
    <row r="69" spans="1:16" ht="15.9" x14ac:dyDescent="0.45">
      <c r="A69" s="2">
        <v>46092</v>
      </c>
      <c r="B69" s="1" t="s">
        <v>11</v>
      </c>
      <c r="C69" s="14" t="s">
        <v>124</v>
      </c>
      <c r="D69" s="1" t="s">
        <v>103</v>
      </c>
      <c r="E69" s="1">
        <v>11</v>
      </c>
      <c r="F69" s="12">
        <v>316.67</v>
      </c>
      <c r="G69" s="12">
        <v>3483.37</v>
      </c>
      <c r="I69" s="1" t="s">
        <v>10</v>
      </c>
      <c r="K69" s="1">
        <v>3.13</v>
      </c>
      <c r="M69" s="1" t="s">
        <v>10</v>
      </c>
      <c r="N69" s="1" t="s">
        <v>9</v>
      </c>
    </row>
    <row r="70" spans="1:16" x14ac:dyDescent="0.4">
      <c r="A70" s="2">
        <v>46092</v>
      </c>
      <c r="B70" s="1" t="s">
        <v>11</v>
      </c>
      <c r="C70" s="1" t="s">
        <v>43</v>
      </c>
      <c r="D70" s="1" t="s">
        <v>103</v>
      </c>
      <c r="E70" s="1">
        <v>3</v>
      </c>
      <c r="F70" s="12">
        <v>38.799999999999997</v>
      </c>
      <c r="G70" s="1">
        <v>116.4</v>
      </c>
      <c r="I70" s="1" t="s">
        <v>10</v>
      </c>
      <c r="K70" s="1">
        <v>0.02</v>
      </c>
      <c r="M70" s="1" t="s">
        <v>10</v>
      </c>
      <c r="N70" s="1" t="s">
        <v>9</v>
      </c>
    </row>
    <row r="71" spans="1:16" x14ac:dyDescent="0.4">
      <c r="A71" s="2">
        <v>46092</v>
      </c>
      <c r="B71" s="1" t="s">
        <v>14</v>
      </c>
      <c r="C71" s="1" t="s">
        <v>69</v>
      </c>
      <c r="D71" s="1" t="s">
        <v>103</v>
      </c>
      <c r="E71" s="1">
        <v>1</v>
      </c>
      <c r="F71" s="1">
        <v>3.3919999999999999</v>
      </c>
      <c r="G71" s="1">
        <v>3.3919999999999999</v>
      </c>
      <c r="I71" s="1" t="s">
        <v>10</v>
      </c>
      <c r="L71" s="1">
        <v>3.3919999999999999</v>
      </c>
      <c r="M71" s="1" t="s">
        <v>10</v>
      </c>
      <c r="N71" s="1" t="s">
        <v>16</v>
      </c>
    </row>
    <row r="72" spans="1:16" x14ac:dyDescent="0.4">
      <c r="A72" s="2">
        <v>46092</v>
      </c>
      <c r="B72" s="1" t="s">
        <v>14</v>
      </c>
      <c r="C72" s="1" t="s">
        <v>134</v>
      </c>
      <c r="D72" s="1" t="s">
        <v>103</v>
      </c>
      <c r="E72" s="1">
        <v>1</v>
      </c>
      <c r="F72" s="1">
        <v>2221.1999999999998</v>
      </c>
      <c r="G72" s="1">
        <v>2221.1999999999998</v>
      </c>
      <c r="I72" s="1" t="s">
        <v>10</v>
      </c>
      <c r="L72" s="1">
        <v>2221.1999999999998</v>
      </c>
      <c r="M72" s="1" t="s">
        <v>10</v>
      </c>
      <c r="N72" s="1" t="s">
        <v>16</v>
      </c>
    </row>
    <row r="73" spans="1:16" x14ac:dyDescent="0.4">
      <c r="A73" s="2">
        <v>46092</v>
      </c>
      <c r="B73" s="1" t="s">
        <v>14</v>
      </c>
      <c r="C73" s="1" t="s">
        <v>73</v>
      </c>
      <c r="D73" s="1" t="s">
        <v>103</v>
      </c>
      <c r="E73" s="1">
        <v>208</v>
      </c>
      <c r="F73" s="1">
        <v>1.9218</v>
      </c>
      <c r="G73" s="1">
        <v>399.73</v>
      </c>
      <c r="I73" s="1" t="s">
        <v>10</v>
      </c>
      <c r="L73" s="1">
        <v>399.73</v>
      </c>
      <c r="M73" s="1" t="s">
        <v>10</v>
      </c>
      <c r="N73" s="1" t="s">
        <v>16</v>
      </c>
    </row>
    <row r="74" spans="1:16" x14ac:dyDescent="0.4">
      <c r="A74" s="2">
        <v>46092</v>
      </c>
      <c r="B74" s="1" t="s">
        <v>14</v>
      </c>
      <c r="C74" s="1" t="s">
        <v>73</v>
      </c>
      <c r="D74" s="1" t="s">
        <v>103</v>
      </c>
      <c r="E74" s="1">
        <v>32</v>
      </c>
      <c r="F74" s="1">
        <v>1.9218</v>
      </c>
      <c r="G74" s="1">
        <v>61.5</v>
      </c>
      <c r="I74" s="1" t="s">
        <v>10</v>
      </c>
      <c r="L74" s="1">
        <v>61.5</v>
      </c>
      <c r="M74" s="1" t="s">
        <v>10</v>
      </c>
      <c r="N74" s="1" t="s">
        <v>16</v>
      </c>
    </row>
    <row r="75" spans="1:16" x14ac:dyDescent="0.4">
      <c r="A75" s="2">
        <v>46092</v>
      </c>
      <c r="B75" s="1" t="s">
        <v>14</v>
      </c>
      <c r="C75" s="1" t="s">
        <v>73</v>
      </c>
      <c r="D75" s="1" t="s">
        <v>103</v>
      </c>
      <c r="E75" s="1">
        <v>5</v>
      </c>
      <c r="F75" s="1">
        <v>1.9212</v>
      </c>
      <c r="G75" s="1">
        <v>9.61</v>
      </c>
      <c r="I75" s="1" t="s">
        <v>10</v>
      </c>
      <c r="L75" s="1">
        <v>9.61</v>
      </c>
      <c r="M75" s="1" t="s">
        <v>10</v>
      </c>
      <c r="N75" s="1" t="s">
        <v>16</v>
      </c>
    </row>
    <row r="76" spans="1:16" x14ac:dyDescent="0.4">
      <c r="A76" s="2">
        <v>46092</v>
      </c>
      <c r="B76" s="1" t="s">
        <v>14</v>
      </c>
      <c r="C76" s="1" t="s">
        <v>135</v>
      </c>
      <c r="D76" s="1" t="s">
        <v>103</v>
      </c>
      <c r="E76" s="1">
        <v>3000</v>
      </c>
      <c r="F76" s="1">
        <v>0.60389999999999999</v>
      </c>
      <c r="G76" s="1">
        <v>1811.7</v>
      </c>
      <c r="I76" s="1" t="s">
        <v>10</v>
      </c>
      <c r="L76" s="1">
        <v>1811.7</v>
      </c>
      <c r="M76" s="1" t="s">
        <v>10</v>
      </c>
      <c r="N76" s="1" t="s">
        <v>16</v>
      </c>
    </row>
    <row r="77" spans="1:16" x14ac:dyDescent="0.4">
      <c r="A77" s="2">
        <v>46092</v>
      </c>
      <c r="B77" s="1" t="s">
        <v>14</v>
      </c>
      <c r="C77" s="1" t="s">
        <v>135</v>
      </c>
      <c r="D77" s="1" t="s">
        <v>103</v>
      </c>
      <c r="E77" s="1">
        <v>1000</v>
      </c>
      <c r="F77" s="1">
        <v>0.60189999999999999</v>
      </c>
      <c r="G77" s="1">
        <v>601.9</v>
      </c>
      <c r="I77" s="1" t="s">
        <v>10</v>
      </c>
      <c r="L77" s="1">
        <v>601.9</v>
      </c>
      <c r="M77" s="1" t="s">
        <v>10</v>
      </c>
      <c r="N77" s="1" t="s">
        <v>16</v>
      </c>
    </row>
    <row r="78" spans="1:16" x14ac:dyDescent="0.4">
      <c r="A78" s="2">
        <v>46092</v>
      </c>
      <c r="B78" s="1" t="s">
        <v>14</v>
      </c>
      <c r="C78" s="1" t="s">
        <v>135</v>
      </c>
      <c r="D78" s="1" t="s">
        <v>103</v>
      </c>
      <c r="E78" s="1">
        <v>1000</v>
      </c>
      <c r="F78" s="1">
        <v>0.60199999999999998</v>
      </c>
      <c r="G78" s="1">
        <v>602</v>
      </c>
      <c r="I78" s="1" t="s">
        <v>10</v>
      </c>
      <c r="L78" s="1">
        <v>602</v>
      </c>
      <c r="M78" s="1" t="s">
        <v>10</v>
      </c>
      <c r="N78" s="1" t="s">
        <v>16</v>
      </c>
    </row>
    <row r="79" spans="1:16" x14ac:dyDescent="0.4">
      <c r="A79" s="2">
        <v>46092</v>
      </c>
      <c r="B79" s="13" t="s">
        <v>17</v>
      </c>
      <c r="C79" s="1" t="s">
        <v>81</v>
      </c>
      <c r="D79" s="1" t="s">
        <v>102</v>
      </c>
      <c r="L79" s="1">
        <v>1400</v>
      </c>
      <c r="M79" s="1" t="s">
        <v>10</v>
      </c>
      <c r="N79" s="1" t="s">
        <v>9</v>
      </c>
    </row>
    <row r="80" spans="1:16" x14ac:dyDescent="0.4">
      <c r="A80" s="2">
        <v>46093</v>
      </c>
      <c r="B80" s="1" t="s">
        <v>14</v>
      </c>
      <c r="D80" s="1" t="s">
        <v>102</v>
      </c>
      <c r="L80" s="1">
        <v>1000</v>
      </c>
      <c r="M80" s="1" t="s">
        <v>10</v>
      </c>
      <c r="N80" s="1" t="s">
        <v>16</v>
      </c>
    </row>
    <row r="81" spans="1:14" x14ac:dyDescent="0.4">
      <c r="A81" s="2">
        <v>46092</v>
      </c>
      <c r="B81" s="1" t="s">
        <v>14</v>
      </c>
      <c r="C81" s="1" t="s">
        <v>73</v>
      </c>
      <c r="D81" s="1" t="s">
        <v>103</v>
      </c>
      <c r="E81" s="1">
        <v>174</v>
      </c>
      <c r="F81" s="1">
        <v>1.9246000000000001</v>
      </c>
      <c r="G81" s="1">
        <v>334.88</v>
      </c>
      <c r="I81" s="1" t="s">
        <v>10</v>
      </c>
      <c r="L81" s="1">
        <v>334.88</v>
      </c>
      <c r="M81" s="1" t="s">
        <v>10</v>
      </c>
      <c r="N81" s="1" t="s">
        <v>16</v>
      </c>
    </row>
    <row r="82" spans="1:14" x14ac:dyDescent="0.4">
      <c r="A82" s="2">
        <v>46092</v>
      </c>
      <c r="B82" s="1" t="s">
        <v>14</v>
      </c>
      <c r="C82" s="1" t="s">
        <v>135</v>
      </c>
      <c r="D82" s="1" t="s">
        <v>103</v>
      </c>
      <c r="E82" s="1">
        <v>1000</v>
      </c>
      <c r="F82" s="1">
        <v>0.60570000000000002</v>
      </c>
      <c r="G82" s="1">
        <v>607.70000000000005</v>
      </c>
      <c r="I82" s="1" t="s">
        <v>10</v>
      </c>
      <c r="K82" s="1">
        <v>1.82</v>
      </c>
      <c r="L82"/>
      <c r="M82" s="1" t="s">
        <v>10</v>
      </c>
      <c r="N82" s="1" t="s">
        <v>16</v>
      </c>
    </row>
    <row r="83" spans="1:14" x14ac:dyDescent="0.4">
      <c r="A83" s="2">
        <v>46091</v>
      </c>
      <c r="B83" s="13" t="s">
        <v>20</v>
      </c>
      <c r="D83" s="1" t="s">
        <v>102</v>
      </c>
      <c r="L83" s="1">
        <f>27.6+58.69</f>
        <v>86.289999999999992</v>
      </c>
      <c r="M83" s="1" t="s">
        <v>10</v>
      </c>
      <c r="N83" s="1" t="s">
        <v>16</v>
      </c>
    </row>
    <row r="84" spans="1:14" x14ac:dyDescent="0.4">
      <c r="A84" s="2">
        <v>46092</v>
      </c>
      <c r="B84" s="13" t="s">
        <v>17</v>
      </c>
      <c r="C84" s="1" t="s">
        <v>81</v>
      </c>
      <c r="D84" s="1" t="s">
        <v>102</v>
      </c>
      <c r="L84" s="1">
        <v>2800</v>
      </c>
      <c r="M84" s="1" t="s">
        <v>10</v>
      </c>
      <c r="N84" s="1" t="s">
        <v>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5"/>
  <sheetViews>
    <sheetView topLeftCell="A49" workbookViewId="0">
      <selection activeCell="J7" sqref="J7"/>
    </sheetView>
  </sheetViews>
  <sheetFormatPr defaultRowHeight="14.6" x14ac:dyDescent="0.4"/>
  <cols>
    <col min="1" max="1" width="20.53515625" style="1" customWidth="1"/>
    <col min="2" max="2" width="13.765625" style="1" customWidth="1"/>
    <col min="3" max="3" width="13.3828125" style="1" customWidth="1"/>
    <col min="4" max="4" width="7.69140625" style="1" customWidth="1"/>
    <col min="5" max="5" width="13" style="1" bestFit="1" customWidth="1"/>
    <col min="6" max="6" width="15.765625" style="1" bestFit="1" customWidth="1"/>
    <col min="7" max="7" width="8.84375" style="1" bestFit="1" customWidth="1"/>
    <col min="8" max="16384" width="9.23046875" style="1"/>
  </cols>
  <sheetData>
    <row r="1" spans="1:7" x14ac:dyDescent="0.4">
      <c r="A1" s="1" t="s">
        <v>91</v>
      </c>
      <c r="B1" s="1" t="s">
        <v>22</v>
      </c>
      <c r="C1" s="1" t="s">
        <v>112</v>
      </c>
      <c r="D1" s="1" t="s">
        <v>4</v>
      </c>
      <c r="E1" s="1" t="s">
        <v>113</v>
      </c>
      <c r="F1" s="1" t="s">
        <v>98</v>
      </c>
      <c r="G1" s="1" t="s">
        <v>114</v>
      </c>
    </row>
    <row r="2" spans="1:7" x14ac:dyDescent="0.4">
      <c r="A2" s="11">
        <v>46068</v>
      </c>
      <c r="B2" s="1" t="s">
        <v>25</v>
      </c>
      <c r="C2" s="1">
        <v>16295.9</v>
      </c>
      <c r="D2" s="1" t="s">
        <v>10</v>
      </c>
      <c r="F2" s="1" t="s">
        <v>10</v>
      </c>
    </row>
    <row r="3" spans="1:7" x14ac:dyDescent="0.4">
      <c r="A3" s="11">
        <v>46068</v>
      </c>
      <c r="B3" s="1" t="s">
        <v>28</v>
      </c>
      <c r="C3" s="1">
        <v>11098.7801</v>
      </c>
      <c r="D3" s="1" t="s">
        <v>10</v>
      </c>
      <c r="E3" s="1">
        <v>997.58</v>
      </c>
      <c r="F3" s="1" t="s">
        <v>31</v>
      </c>
    </row>
    <row r="4" spans="1:7" x14ac:dyDescent="0.4">
      <c r="A4" s="11">
        <v>46068</v>
      </c>
      <c r="B4" s="1" t="s">
        <v>34</v>
      </c>
      <c r="C4" s="12">
        <v>7639.1500999999998</v>
      </c>
      <c r="D4" s="1" t="s">
        <v>10</v>
      </c>
      <c r="E4" s="1">
        <v>99.33</v>
      </c>
      <c r="F4" s="1" t="s">
        <v>36</v>
      </c>
    </row>
    <row r="5" spans="1:7" x14ac:dyDescent="0.4">
      <c r="A5" s="11">
        <v>46068</v>
      </c>
      <c r="B5" s="1" t="s">
        <v>40</v>
      </c>
      <c r="C5" s="1">
        <v>2433.5</v>
      </c>
      <c r="D5" s="1" t="s">
        <v>10</v>
      </c>
    </row>
    <row r="6" spans="1:7" x14ac:dyDescent="0.4">
      <c r="A6" s="11">
        <v>46068</v>
      </c>
      <c r="B6" s="1" t="s">
        <v>43</v>
      </c>
      <c r="C6" s="1">
        <v>1927.64</v>
      </c>
      <c r="D6" s="1" t="s">
        <v>10</v>
      </c>
    </row>
    <row r="7" spans="1:7" x14ac:dyDescent="0.4">
      <c r="A7" s="11">
        <v>46068</v>
      </c>
      <c r="B7" s="1" t="s">
        <v>46</v>
      </c>
      <c r="C7" s="12">
        <v>2100.5</v>
      </c>
      <c r="D7" s="1" t="s">
        <v>10</v>
      </c>
    </row>
    <row r="8" spans="1:7" x14ac:dyDescent="0.4">
      <c r="A8" s="11">
        <v>46068</v>
      </c>
      <c r="B8" s="1" t="s">
        <v>49</v>
      </c>
      <c r="C8" s="12">
        <v>8188.5581000000002</v>
      </c>
      <c r="D8" s="1" t="s">
        <v>10</v>
      </c>
      <c r="E8" s="1">
        <v>106.13</v>
      </c>
      <c r="F8" s="1" t="s">
        <v>36</v>
      </c>
      <c r="G8" s="1">
        <v>106.0771</v>
      </c>
    </row>
    <row r="9" spans="1:7" x14ac:dyDescent="0.4">
      <c r="A9" s="11">
        <v>46068</v>
      </c>
      <c r="B9" s="1" t="s">
        <v>53</v>
      </c>
      <c r="C9" s="12">
        <v>8059.0954000000002</v>
      </c>
      <c r="D9" s="1" t="s">
        <v>10</v>
      </c>
      <c r="E9" s="1">
        <v>104.63</v>
      </c>
      <c r="F9" s="1" t="s">
        <v>36</v>
      </c>
      <c r="G9" s="1">
        <v>104.4</v>
      </c>
    </row>
    <row r="10" spans="1:7" x14ac:dyDescent="0.4">
      <c r="A10" s="11">
        <v>46068</v>
      </c>
      <c r="B10" s="1" t="s">
        <v>57</v>
      </c>
      <c r="C10" s="12">
        <v>595.49</v>
      </c>
      <c r="D10" s="1" t="s">
        <v>10</v>
      </c>
    </row>
    <row r="11" spans="1:7" x14ac:dyDescent="0.4">
      <c r="A11" s="11">
        <v>46068</v>
      </c>
      <c r="B11" s="1" t="s">
        <v>61</v>
      </c>
      <c r="C11" s="12">
        <v>1380</v>
      </c>
      <c r="D11" s="1" t="s">
        <v>10</v>
      </c>
    </row>
    <row r="12" spans="1:7" x14ac:dyDescent="0.4">
      <c r="A12" s="11">
        <v>46068</v>
      </c>
      <c r="B12" s="1" t="s">
        <v>63</v>
      </c>
      <c r="C12" s="12">
        <v>927.49</v>
      </c>
      <c r="D12" s="1" t="s">
        <v>10</v>
      </c>
    </row>
    <row r="13" spans="1:7" x14ac:dyDescent="0.4">
      <c r="A13" s="11">
        <v>46068</v>
      </c>
      <c r="B13" s="1" t="s">
        <v>66</v>
      </c>
      <c r="C13" s="12">
        <v>3532.19</v>
      </c>
      <c r="D13" s="1" t="s">
        <v>10</v>
      </c>
    </row>
    <row r="14" spans="1:7" x14ac:dyDescent="0.4">
      <c r="A14" s="11">
        <v>46068</v>
      </c>
      <c r="B14" s="1" t="s">
        <v>69</v>
      </c>
      <c r="C14" s="12">
        <v>10131</v>
      </c>
      <c r="D14" s="1" t="s">
        <v>10</v>
      </c>
    </row>
    <row r="15" spans="1:7" x14ac:dyDescent="0.4">
      <c r="A15" s="11">
        <v>46068</v>
      </c>
      <c r="B15" s="1" t="s">
        <v>71</v>
      </c>
      <c r="C15" s="1">
        <f>129.11*13</f>
        <v>1678.4300000000003</v>
      </c>
      <c r="D15" s="1" t="s">
        <v>10</v>
      </c>
    </row>
    <row r="16" spans="1:7" x14ac:dyDescent="0.4">
      <c r="A16" s="11">
        <v>46068</v>
      </c>
      <c r="B16" s="1" t="s">
        <v>73</v>
      </c>
      <c r="C16" s="1">
        <f>1.8938*357</f>
        <v>676.08659999999998</v>
      </c>
      <c r="D16" s="1" t="s">
        <v>10</v>
      </c>
    </row>
    <row r="17" spans="1:7" x14ac:dyDescent="0.4">
      <c r="A17" s="11">
        <v>46068</v>
      </c>
      <c r="B17" s="1" t="s">
        <v>75</v>
      </c>
      <c r="C17" s="1">
        <f>278.63*10</f>
        <v>2786.3</v>
      </c>
      <c r="D17" s="1" t="s">
        <v>10</v>
      </c>
    </row>
    <row r="18" spans="1:7" x14ac:dyDescent="0.4">
      <c r="A18" s="11">
        <v>46075</v>
      </c>
      <c r="B18" s="1" t="s">
        <v>25</v>
      </c>
      <c r="C18" s="1">
        <v>16204.35</v>
      </c>
      <c r="D18" s="1" t="s">
        <v>10</v>
      </c>
    </row>
    <row r="19" spans="1:7" x14ac:dyDescent="0.4">
      <c r="A19" s="11">
        <v>46075</v>
      </c>
      <c r="B19" s="1" t="s">
        <v>28</v>
      </c>
      <c r="C19" s="12">
        <v>11054.6517</v>
      </c>
      <c r="D19" s="1" t="s">
        <v>10</v>
      </c>
      <c r="E19" s="1">
        <v>1000.69</v>
      </c>
      <c r="F19" s="1" t="s">
        <v>31</v>
      </c>
      <c r="G19" s="1">
        <v>99.655199999999994</v>
      </c>
    </row>
    <row r="20" spans="1:7" x14ac:dyDescent="0.4">
      <c r="A20" s="11">
        <v>46075</v>
      </c>
      <c r="B20" s="1" t="s">
        <v>34</v>
      </c>
      <c r="C20" s="12">
        <v>7594.8690999999999</v>
      </c>
      <c r="D20" s="1" t="s">
        <v>10</v>
      </c>
      <c r="E20" s="1">
        <v>98.97</v>
      </c>
      <c r="F20" s="1" t="s">
        <v>36</v>
      </c>
      <c r="G20" s="1">
        <v>98.953500000000005</v>
      </c>
    </row>
    <row r="21" spans="1:7" x14ac:dyDescent="0.4">
      <c r="A21" s="11">
        <v>46075</v>
      </c>
      <c r="B21" s="1" t="s">
        <v>40</v>
      </c>
      <c r="C21" s="1">
        <v>2441</v>
      </c>
      <c r="D21" s="1" t="s">
        <v>10</v>
      </c>
    </row>
    <row r="22" spans="1:7" x14ac:dyDescent="0.4">
      <c r="A22" s="11">
        <v>46075</v>
      </c>
      <c r="B22" s="1" t="s">
        <v>43</v>
      </c>
      <c r="C22" s="1">
        <v>1917.76</v>
      </c>
      <c r="D22" s="1" t="s">
        <v>10</v>
      </c>
    </row>
    <row r="23" spans="1:7" x14ac:dyDescent="0.4">
      <c r="A23" s="11">
        <v>46075</v>
      </c>
      <c r="B23" s="1" t="s">
        <v>46</v>
      </c>
      <c r="C23" s="1">
        <v>2059.5</v>
      </c>
      <c r="D23" s="1" t="s">
        <v>10</v>
      </c>
    </row>
    <row r="24" spans="1:7" x14ac:dyDescent="0.4">
      <c r="A24" s="11">
        <v>46075</v>
      </c>
      <c r="B24" s="1" t="s">
        <v>49</v>
      </c>
      <c r="C24" s="12">
        <v>8127.8726999999999</v>
      </c>
      <c r="D24" s="1" t="s">
        <v>10</v>
      </c>
      <c r="E24" s="1">
        <v>106.19</v>
      </c>
      <c r="F24" s="1" t="s">
        <v>36</v>
      </c>
      <c r="G24" s="1">
        <v>105.898</v>
      </c>
    </row>
    <row r="25" spans="1:7" x14ac:dyDescent="0.4">
      <c r="A25" s="11">
        <v>46075</v>
      </c>
      <c r="B25" s="1" t="s">
        <v>53</v>
      </c>
      <c r="C25" s="12">
        <v>8054.7819</v>
      </c>
      <c r="D25" s="1" t="s">
        <v>10</v>
      </c>
      <c r="E25" s="1">
        <v>105.41</v>
      </c>
      <c r="F25" s="1" t="s">
        <v>36</v>
      </c>
      <c r="G25" s="1">
        <v>104.9457</v>
      </c>
    </row>
    <row r="26" spans="1:7" x14ac:dyDescent="0.4">
      <c r="A26" s="11">
        <v>46075</v>
      </c>
      <c r="B26" s="1" t="s">
        <v>57</v>
      </c>
      <c r="C26" s="1">
        <v>599.5</v>
      </c>
      <c r="D26" s="1" t="s">
        <v>10</v>
      </c>
    </row>
    <row r="27" spans="1:7" x14ac:dyDescent="0.4">
      <c r="A27" s="11">
        <v>46075</v>
      </c>
      <c r="B27" s="1" t="s">
        <v>61</v>
      </c>
      <c r="C27" s="1">
        <v>1418.4</v>
      </c>
      <c r="D27" s="1" t="s">
        <v>10</v>
      </c>
    </row>
    <row r="28" spans="1:7" x14ac:dyDescent="0.4">
      <c r="A28" s="11">
        <v>46075</v>
      </c>
      <c r="B28" s="1" t="s">
        <v>63</v>
      </c>
      <c r="C28" s="1">
        <v>926.48</v>
      </c>
      <c r="D28" s="1" t="s">
        <v>10</v>
      </c>
    </row>
    <row r="29" spans="1:7" x14ac:dyDescent="0.4">
      <c r="A29" s="11">
        <v>46075</v>
      </c>
      <c r="B29" s="1" t="s">
        <v>66</v>
      </c>
      <c r="C29" s="1">
        <v>3875.47</v>
      </c>
      <c r="D29" s="1" t="s">
        <v>10</v>
      </c>
    </row>
    <row r="30" spans="1:7" x14ac:dyDescent="0.4">
      <c r="A30" s="11">
        <v>46075</v>
      </c>
      <c r="B30" s="1" t="s">
        <v>69</v>
      </c>
      <c r="C30" s="1">
        <v>10551</v>
      </c>
      <c r="D30" s="1" t="s">
        <v>10</v>
      </c>
    </row>
    <row r="31" spans="1:7" x14ac:dyDescent="0.4">
      <c r="A31" s="11">
        <v>46075</v>
      </c>
      <c r="B31" s="1" t="s">
        <v>71</v>
      </c>
      <c r="C31" s="1">
        <v>1679.86</v>
      </c>
      <c r="D31" s="1" t="s">
        <v>10</v>
      </c>
    </row>
    <row r="32" spans="1:7" x14ac:dyDescent="0.4">
      <c r="A32" s="11">
        <v>46075</v>
      </c>
      <c r="B32" s="1" t="s">
        <v>73</v>
      </c>
      <c r="C32" s="1">
        <f>1.9068*357</f>
        <v>680.72760000000005</v>
      </c>
      <c r="D32" s="1" t="s">
        <v>10</v>
      </c>
    </row>
    <row r="33" spans="1:7" x14ac:dyDescent="0.4">
      <c r="A33" s="11">
        <v>46075</v>
      </c>
      <c r="B33" s="1" t="s">
        <v>75</v>
      </c>
      <c r="C33" s="1">
        <v>2823.3</v>
      </c>
      <c r="D33" s="1" t="s">
        <v>10</v>
      </c>
    </row>
    <row r="34" spans="1:7" x14ac:dyDescent="0.4">
      <c r="A34" s="11">
        <v>46075</v>
      </c>
      <c r="B34" s="1" t="s">
        <v>81</v>
      </c>
      <c r="C34" s="1">
        <v>24191.29</v>
      </c>
      <c r="D34" s="1" t="s">
        <v>10</v>
      </c>
    </row>
    <row r="35" spans="1:7" x14ac:dyDescent="0.4">
      <c r="A35" s="11">
        <v>46075</v>
      </c>
      <c r="B35" s="1" t="s">
        <v>79</v>
      </c>
      <c r="C35" s="1">
        <v>47343.93</v>
      </c>
      <c r="D35" s="1" t="s">
        <v>10</v>
      </c>
    </row>
    <row r="36" spans="1:7" x14ac:dyDescent="0.4">
      <c r="A36" s="11">
        <v>46075</v>
      </c>
      <c r="B36" s="1" t="s">
        <v>110</v>
      </c>
      <c r="C36" s="1">
        <v>26033.46</v>
      </c>
      <c r="D36" s="1" t="s">
        <v>10</v>
      </c>
    </row>
    <row r="37" spans="1:7" x14ac:dyDescent="0.4">
      <c r="A37" s="11">
        <v>46082</v>
      </c>
      <c r="B37" s="1" t="s">
        <v>25</v>
      </c>
      <c r="C37" s="1">
        <v>16625.48</v>
      </c>
      <c r="D37" s="1" t="s">
        <v>10</v>
      </c>
    </row>
    <row r="38" spans="1:7" x14ac:dyDescent="0.4">
      <c r="A38" s="11">
        <v>46082</v>
      </c>
      <c r="B38" s="1" t="s">
        <v>28</v>
      </c>
      <c r="C38" s="1">
        <v>11138.2454</v>
      </c>
      <c r="D38" s="1" t="s">
        <v>10</v>
      </c>
      <c r="E38" s="1">
        <v>996.35</v>
      </c>
      <c r="F38" s="1" t="s">
        <v>31</v>
      </c>
      <c r="G38" s="1" t="s">
        <v>115</v>
      </c>
    </row>
    <row r="39" spans="1:7" x14ac:dyDescent="0.4">
      <c r="A39" s="11">
        <v>46082</v>
      </c>
      <c r="B39" s="1" t="s">
        <v>34</v>
      </c>
      <c r="C39" s="1">
        <v>7682.5335999999998</v>
      </c>
      <c r="D39" s="1" t="s">
        <v>10</v>
      </c>
      <c r="E39" s="1">
        <v>99.54</v>
      </c>
      <c r="F39" s="1" t="s">
        <v>36</v>
      </c>
      <c r="G39" s="1" t="s">
        <v>116</v>
      </c>
    </row>
    <row r="40" spans="1:7" x14ac:dyDescent="0.4">
      <c r="A40" s="11">
        <v>46082</v>
      </c>
      <c r="B40" s="1" t="s">
        <v>40</v>
      </c>
      <c r="C40" s="1">
        <v>2418.5</v>
      </c>
      <c r="D40" s="1" t="s">
        <v>10</v>
      </c>
    </row>
    <row r="41" spans="1:7" x14ac:dyDescent="0.4">
      <c r="A41" s="11">
        <v>46082</v>
      </c>
      <c r="B41" s="1" t="s">
        <v>43</v>
      </c>
      <c r="C41" s="1">
        <v>1990.3</v>
      </c>
      <c r="D41" s="1" t="s">
        <v>10</v>
      </c>
    </row>
    <row r="42" spans="1:7" x14ac:dyDescent="0.4">
      <c r="A42" s="11">
        <v>46082</v>
      </c>
      <c r="B42" s="1" t="s">
        <v>46</v>
      </c>
      <c r="C42" s="1">
        <v>2127.5</v>
      </c>
      <c r="D42" s="1" t="s">
        <v>10</v>
      </c>
    </row>
    <row r="43" spans="1:7" x14ac:dyDescent="0.4">
      <c r="A43" s="11">
        <v>46082</v>
      </c>
      <c r="B43" s="1" t="s">
        <v>49</v>
      </c>
      <c r="C43" s="1">
        <v>8202.1213000000007</v>
      </c>
      <c r="D43" s="1" t="s">
        <v>10</v>
      </c>
      <c r="E43" s="1">
        <v>106.59</v>
      </c>
      <c r="F43" s="1" t="s">
        <v>36</v>
      </c>
      <c r="G43" s="1">
        <v>106.1439</v>
      </c>
    </row>
    <row r="44" spans="1:7" x14ac:dyDescent="0.4">
      <c r="A44" s="11">
        <v>46082</v>
      </c>
      <c r="B44" s="1" t="s">
        <v>53</v>
      </c>
      <c r="C44" s="1">
        <v>8112.4606999999996</v>
      </c>
      <c r="D44" s="1" t="s">
        <v>10</v>
      </c>
      <c r="E44" s="1">
        <v>105.6</v>
      </c>
      <c r="F44" s="1" t="s">
        <v>36</v>
      </c>
      <c r="G44" s="1">
        <v>104.9836</v>
      </c>
    </row>
    <row r="45" spans="1:7" x14ac:dyDescent="0.4">
      <c r="A45" s="11">
        <v>46082</v>
      </c>
      <c r="B45" s="1" t="s">
        <v>57</v>
      </c>
      <c r="C45" s="1">
        <v>599.84</v>
      </c>
      <c r="D45" s="1" t="s">
        <v>10</v>
      </c>
    </row>
    <row r="46" spans="1:7" x14ac:dyDescent="0.4">
      <c r="A46" s="11">
        <v>46082</v>
      </c>
      <c r="B46" s="1" t="s">
        <v>61</v>
      </c>
      <c r="C46" s="1">
        <v>1370.8</v>
      </c>
      <c r="D46" s="1" t="s">
        <v>10</v>
      </c>
    </row>
    <row r="47" spans="1:7" x14ac:dyDescent="0.4">
      <c r="A47" s="11">
        <v>46082</v>
      </c>
      <c r="B47" s="1" t="s">
        <v>63</v>
      </c>
      <c r="C47" s="1">
        <v>923.89</v>
      </c>
      <c r="D47" s="1" t="s">
        <v>10</v>
      </c>
    </row>
    <row r="48" spans="1:7" x14ac:dyDescent="0.4">
      <c r="A48" s="11">
        <v>46082</v>
      </c>
      <c r="B48" s="1" t="s">
        <v>66</v>
      </c>
      <c r="C48" s="1">
        <v>4001.91</v>
      </c>
      <c r="D48" s="1" t="s">
        <v>10</v>
      </c>
    </row>
    <row r="49" spans="1:4" x14ac:dyDescent="0.4">
      <c r="A49" s="11">
        <v>46082</v>
      </c>
      <c r="B49" s="1" t="s">
        <v>69</v>
      </c>
      <c r="C49" s="1">
        <v>13784</v>
      </c>
      <c r="D49" s="1" t="s">
        <v>10</v>
      </c>
    </row>
    <row r="50" spans="1:4" x14ac:dyDescent="0.4">
      <c r="A50" s="11">
        <v>46082</v>
      </c>
      <c r="B50" s="1" t="s">
        <v>71</v>
      </c>
      <c r="C50" s="1">
        <v>1685.84</v>
      </c>
      <c r="D50" s="1" t="s">
        <v>10</v>
      </c>
    </row>
    <row r="51" spans="1:4" x14ac:dyDescent="0.4">
      <c r="A51" s="11">
        <v>46082</v>
      </c>
      <c r="B51" s="1" t="s">
        <v>73</v>
      </c>
      <c r="C51" s="1">
        <v>893.46</v>
      </c>
      <c r="D51" s="1" t="s">
        <v>10</v>
      </c>
    </row>
    <row r="52" spans="1:4" x14ac:dyDescent="0.4">
      <c r="A52" s="11">
        <v>46082</v>
      </c>
      <c r="B52" s="1" t="s">
        <v>75</v>
      </c>
      <c r="C52" s="1">
        <v>16571.5</v>
      </c>
      <c r="D52" s="1" t="s">
        <v>10</v>
      </c>
    </row>
    <row r="53" spans="1:4" x14ac:dyDescent="0.4">
      <c r="A53" s="11">
        <v>46082</v>
      </c>
      <c r="B53" s="1" t="s">
        <v>81</v>
      </c>
      <c r="D53" s="1" t="s">
        <v>10</v>
      </c>
    </row>
    <row r="54" spans="1:4" x14ac:dyDescent="0.4">
      <c r="A54" s="11">
        <v>46082</v>
      </c>
      <c r="B54" s="1" t="s">
        <v>79</v>
      </c>
      <c r="C54" s="1">
        <v>47502.84</v>
      </c>
      <c r="D54" s="1" t="s">
        <v>10</v>
      </c>
    </row>
    <row r="55" spans="1:4" x14ac:dyDescent="0.4">
      <c r="A55" s="11">
        <v>46082</v>
      </c>
      <c r="B55" s="1" t="s">
        <v>110</v>
      </c>
      <c r="C55" s="1">
        <v>26282.52</v>
      </c>
      <c r="D55" s="1" t="s">
        <v>10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Счета</vt:lpstr>
      <vt:lpstr>Активы</vt:lpstr>
      <vt:lpstr>Облигации</vt:lpstr>
      <vt:lpstr>Транзакции</vt:lpstr>
      <vt:lpstr>Стоимость активов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Пульша Дмитрий</cp:lastModifiedBy>
  <dcterms:created xsi:type="dcterms:W3CDTF">2026-02-14T15:23:50Z</dcterms:created>
  <dcterms:modified xsi:type="dcterms:W3CDTF">2026-03-12T17:23:51Z</dcterms:modified>
</cp:coreProperties>
</file>